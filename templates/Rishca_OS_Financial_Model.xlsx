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Customer Waterfall" sheetId="3" state="visible" r:id="rId5"/>
    <sheet name="Geographic Split" sheetId="4" state="visible" r:id="rId6"/>
    <sheet name="Team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<sst xmlns="http://schemas.openxmlformats.org/spreadsheetml/2006/main" count="217" uniqueCount="164">
  <si>
    <t xml:space="preserve">RISHCA OS — FINANCIAL MODEL ASSUMPTIONS</t>
  </si>
  <si>
    <t xml:space="preserve">All blue values are editable inputs. Black values are calculated.</t>
  </si>
  <si>
    <t xml:space="preserve">Q1 2026</t>
  </si>
  <si>
    <t xml:space="preserve">Q2 2026</t>
  </si>
  <si>
    <t xml:space="preserve">Q3 2026</t>
  </si>
  <si>
    <t xml:space="preserve">Q4 2026</t>
  </si>
  <si>
    <t xml:space="preserve">FY 2026</t>
  </si>
  <si>
    <t xml:space="preserve">FY 2027</t>
  </si>
  <si>
    <t xml:space="preserve">FY 2028</t>
  </si>
  <si>
    <t xml:space="preserve">FY 2029</t>
  </si>
  <si>
    <t xml:space="preserve">PRICING (Monthly)</t>
  </si>
  <si>
    <t xml:space="preserve">Light Plan ($/mo)</t>
  </si>
  <si>
    <t xml:space="preserve">Growth Plan ($/mo)</t>
  </si>
  <si>
    <t xml:space="preserve">Pro Plan ($/mo)</t>
  </si>
  <si>
    <t xml:space="preserve">Enterprise Plan ($/mo)</t>
  </si>
  <si>
    <t xml:space="preserve">NEW CUSTOMERS PER QUARTER (Pre-Fund)</t>
  </si>
  <si>
    <t xml:space="preserve">Light — New</t>
  </si>
  <si>
    <t xml:space="preserve">Growth — New</t>
  </si>
  <si>
    <t xml:space="preserve">Pro — New</t>
  </si>
  <si>
    <t xml:space="preserve">Enterprise — New</t>
  </si>
  <si>
    <t xml:space="preserve">Total New (Pre-Fund)</t>
  </si>
  <si>
    <t xml:space="preserve">POST-FUND ANNUAL NEW CUSTOMERS</t>
  </si>
  <si>
    <t xml:space="preserve">Total New / Year</t>
  </si>
  <si>
    <t xml:space="preserve">CHURN ASSUMPTIONS</t>
  </si>
  <si>
    <t xml:space="preserve">Monthly Churn Rate</t>
  </si>
  <si>
    <t xml:space="preserve">PEOPLE COST — PRE-FUND ($/mo)</t>
  </si>
  <si>
    <t xml:space="preserve">Founder Salary ($/mo)</t>
  </si>
  <si>
    <t xml:space="preserve">Note: Current team costs covered separately (Shezlong)</t>
  </si>
  <si>
    <t xml:space="preserve">PEOPLE COST — POST-FUND ($/mo per person)</t>
  </si>
  <si>
    <t xml:space="preserve">CEO (Aly)</t>
  </si>
  <si>
    <t xml:space="preserve">CCO (Co-Founder)</t>
  </si>
  <si>
    <t xml:space="preserve">Engineering Manager</t>
  </si>
  <si>
    <t xml:space="preserve">Senior Backend Developer</t>
  </si>
  <si>
    <t xml:space="preserve">Junior Developer</t>
  </si>
  <si>
    <t xml:space="preserve">Full-Time UAT</t>
  </si>
  <si>
    <t xml:space="preserve">PM / Growth Marketer (optional)</t>
  </si>
  <si>
    <t xml:space="preserve">Monthly Marketing Freelancer</t>
  </si>
  <si>
    <t xml:space="preserve">Business Development Manager</t>
  </si>
  <si>
    <t xml:space="preserve">Total Monthly Team Cost (Post-Fund)</t>
  </si>
  <si>
    <t xml:space="preserve">TOOLS &amp; INFRASTRUCTURE ($/mo)</t>
  </si>
  <si>
    <t xml:space="preserve">Lovable</t>
  </si>
  <si>
    <t xml:space="preserve">Git + AI Tools</t>
  </si>
  <si>
    <t xml:space="preserve">GCP (Q1 base, grows)</t>
  </si>
  <si>
    <t xml:space="preserve">AI / Gemini (Receipt Scanning)</t>
  </si>
  <si>
    <t xml:space="preserve">OTP Cost (1 EGP/customer, ~at cost)</t>
  </si>
  <si>
    <t xml:space="preserve">Domain + Email + Misc SaaS</t>
  </si>
  <si>
    <t xml:space="preserve">Total Monthly Tools</t>
  </si>
  <si>
    <t xml:space="preserve">OTHER COSTS (Post-Fund)</t>
  </si>
  <si>
    <t xml:space="preserve">Office Rent ($/mo)</t>
  </si>
  <si>
    <t xml:space="preserve">Company Setup &amp; Legal (one-time)</t>
  </si>
  <si>
    <t xml:space="preserve">Travel &amp; BD Budget ($/mo)</t>
  </si>
  <si>
    <t xml:space="preserve">Monthly Ads Budget</t>
  </si>
  <si>
    <t xml:space="preserve">Insurance &amp; Misc ($/mo)</t>
  </si>
  <si>
    <t xml:space="preserve">FUNDING</t>
  </si>
  <si>
    <t xml:space="preserve">Pre-Seed Raise ($)</t>
  </si>
  <si>
    <t xml:space="preserve">Fund Deployment Start</t>
  </si>
  <si>
    <t xml:space="preserve">Q1 2027</t>
  </si>
  <si>
    <t xml:space="preserve">CAC ASSUMPTIONS</t>
  </si>
  <si>
    <t xml:space="preserve">CAC — Light ($)</t>
  </si>
  <si>
    <t xml:space="preserve">CAC — Growth ($)</t>
  </si>
  <si>
    <t xml:space="preserve">CAC — Pro ($)</t>
  </si>
  <si>
    <t xml:space="preserve">CAC — Enterprise ($)</t>
  </si>
  <si>
    <t xml:space="preserve">RISHCA OS — PROFIT &amp; LOSS</t>
  </si>
  <si>
    <t xml:space="preserve">REVENUE</t>
  </si>
  <si>
    <t xml:space="preserve">Light Revenue</t>
  </si>
  <si>
    <t xml:space="preserve">Growth Revenue</t>
  </si>
  <si>
    <t xml:space="preserve">Pro Revenue</t>
  </si>
  <si>
    <t xml:space="preserve">Enterprise Revenue</t>
  </si>
  <si>
    <t xml:space="preserve">Influencer Campaign Revenue</t>
  </si>
  <si>
    <t xml:space="preserve">OTP Transaction Revenue</t>
  </si>
  <si>
    <t xml:space="preserve">TOTAL REVENUE</t>
  </si>
  <si>
    <t xml:space="preserve">COSTS</t>
  </si>
  <si>
    <t xml:space="preserve">People — Founder</t>
  </si>
  <si>
    <t xml:space="preserve">People — Post-Fund Team (excl CEO)</t>
  </si>
  <si>
    <t xml:space="preserve">Tools &amp; Infrastructure</t>
  </si>
  <si>
    <t xml:space="preserve">CAC / Sales &amp; Marketing</t>
  </si>
  <si>
    <t xml:space="preserve">Office &amp; Operations</t>
  </si>
  <si>
    <t xml:space="preserve">Ads &amp; Paid Marketing</t>
  </si>
  <si>
    <t xml:space="preserve">TOTAL COSTS</t>
  </si>
  <si>
    <t xml:space="preserve">NET INCOME / (LOSS)</t>
  </si>
  <si>
    <t xml:space="preserve">CASH FLOW</t>
  </si>
  <si>
    <t xml:space="preserve">Opening Cash</t>
  </si>
  <si>
    <t xml:space="preserve">Net Cash Flow</t>
  </si>
  <si>
    <t xml:space="preserve">Closing Cash</t>
  </si>
  <si>
    <t xml:space="preserve">Monthly Burn Rate</t>
  </si>
  <si>
    <t xml:space="preserve">Runway (months)</t>
  </si>
  <si>
    <t xml:space="preserve">CUSTOMER WATERFALL BY PLAN TYPE</t>
  </si>
  <si>
    <t xml:space="preserve">LIGHT PLAN</t>
  </si>
  <si>
    <t xml:space="preserve">Opening Light Customers</t>
  </si>
  <si>
    <t xml:space="preserve">New Light Customers</t>
  </si>
  <si>
    <t xml:space="preserve">Churned Light</t>
  </si>
  <si>
    <t xml:space="preserve">Closing Light Customers</t>
  </si>
  <si>
    <t xml:space="preserve">GROWTH PLAN</t>
  </si>
  <si>
    <t xml:space="preserve">Opening Growth Customers</t>
  </si>
  <si>
    <t xml:space="preserve">New Growth Customers</t>
  </si>
  <si>
    <t xml:space="preserve">Churned Growth</t>
  </si>
  <si>
    <t xml:space="preserve">Closing Growth Customers</t>
  </si>
  <si>
    <t xml:space="preserve">PRO PLAN</t>
  </si>
  <si>
    <t xml:space="preserve">Opening Pro Customers</t>
  </si>
  <si>
    <t xml:space="preserve">New Pro Customers</t>
  </si>
  <si>
    <t xml:space="preserve">Churned Pro</t>
  </si>
  <si>
    <t xml:space="preserve">Closing Pro Customers</t>
  </si>
  <si>
    <t xml:space="preserve">ENTERPRISE PLAN</t>
  </si>
  <si>
    <t xml:space="preserve">Opening Enterprise Customers</t>
  </si>
  <si>
    <t xml:space="preserve">New Enterprise Customers</t>
  </si>
  <si>
    <t xml:space="preserve">Churned Enterprise</t>
  </si>
  <si>
    <t xml:space="preserve">Closing Enterprise Customers</t>
  </si>
  <si>
    <t xml:space="preserve">TOTAL CUSTOMERS</t>
  </si>
  <si>
    <t xml:space="preserve">Total Active Customers</t>
  </si>
  <si>
    <t xml:space="preserve">GEOGRAPHIC CUSTOMER SPLIT</t>
  </si>
  <si>
    <t xml:space="preserve">EGYPT (Launch Market)</t>
  </si>
  <si>
    <t xml:space="preserve">Egypt — Light</t>
  </si>
  <si>
    <t xml:space="preserve">Egypt — Growth</t>
  </si>
  <si>
    <t xml:space="preserve">Egypt — Pro</t>
  </si>
  <si>
    <t xml:space="preserve">Egypt — Enterprise</t>
  </si>
  <si>
    <t xml:space="preserve">Egypt Total</t>
  </si>
  <si>
    <t xml:space="preserve">GCC (2027 Launch — UAE &amp; KSA)</t>
  </si>
  <si>
    <t xml:space="preserve">GCC — Light</t>
  </si>
  <si>
    <t xml:space="preserve">GCC — Growth</t>
  </si>
  <si>
    <t xml:space="preserve">GCC — Pro</t>
  </si>
  <si>
    <t xml:space="preserve">GCC — Enterprise</t>
  </si>
  <si>
    <t xml:space="preserve">GCC Total</t>
  </si>
  <si>
    <t xml:space="preserve">NORTH AFRICA (2028 Launch)</t>
  </si>
  <si>
    <t xml:space="preserve">N. Africa — Light</t>
  </si>
  <si>
    <t xml:space="preserve">N. Africa — Growth</t>
  </si>
  <si>
    <t xml:space="preserve">N. Africa — Pro</t>
  </si>
  <si>
    <t xml:space="preserve">N. Africa — Enterprise</t>
  </si>
  <si>
    <t xml:space="preserve">N. Africa Total</t>
  </si>
  <si>
    <t xml:space="preserve">GLOBAL TOTAL</t>
  </si>
  <si>
    <t xml:space="preserve">Total Customers (All Regions)</t>
  </si>
  <si>
    <t xml:space="preserve">TEAM &amp; HIRING PLAN</t>
  </si>
  <si>
    <t xml:space="preserve">Role</t>
  </si>
  <si>
    <t xml:space="preserve">Pre-Fund (2026)</t>
  </si>
  <si>
    <t xml:space="preserve">Post-Fund (2027)</t>
  </si>
  <si>
    <t xml:space="preserve">Scale (2028-29)</t>
  </si>
  <si>
    <t xml:space="preserve">Aly Zeineldin (CEO)</t>
  </si>
  <si>
    <t xml:space="preserve">Solo Founder</t>
  </si>
  <si>
    <t xml:space="preserve">$4,000/mo</t>
  </si>
  <si>
    <t xml:space="preserve">$5,000/mo</t>
  </si>
  <si>
    <t xml:space="preserve">Searching</t>
  </si>
  <si>
    <t xml:space="preserve">$3,000/mo</t>
  </si>
  <si>
    <t xml:space="preserve">—</t>
  </si>
  <si>
    <t xml:space="preserve">$3,500/mo</t>
  </si>
  <si>
    <t xml:space="preserve">Senior Backend Dev</t>
  </si>
  <si>
    <t xml:space="preserve">$1,500/mo</t>
  </si>
  <si>
    <t xml:space="preserve">$2,000/mo</t>
  </si>
  <si>
    <t xml:space="preserve">$700/mo</t>
  </si>
  <si>
    <t xml:space="preserve">$1,000/mo</t>
  </si>
  <si>
    <t xml:space="preserve">$900/mo</t>
  </si>
  <si>
    <t xml:space="preserve">PM / Growth Marketer</t>
  </si>
  <si>
    <t xml:space="preserve">$1,000/mo (optional)</t>
  </si>
  <si>
    <t xml:space="preserve">BD Manager</t>
  </si>
  <si>
    <t xml:space="preserve">Marketing Freelancer</t>
  </si>
  <si>
    <t xml:space="preserve">$500/mo</t>
  </si>
  <si>
    <t xml:space="preserve">Current Team (Shezlong shared)</t>
  </si>
  <si>
    <t xml:space="preserve">3× Full Stack (Amr, Yassin, Bahaa)</t>
  </si>
  <si>
    <t xml:space="preserve">Shared cost</t>
  </si>
  <si>
    <t xml:space="preserve">Transition to Rishca</t>
  </si>
  <si>
    <t xml:space="preserve">Full-time Rishca</t>
  </si>
  <si>
    <t xml:space="preserve">1× Jr Backend (Anas Emad)</t>
  </si>
  <si>
    <t xml:space="preserve">Full-time</t>
  </si>
  <si>
    <t xml:space="preserve">1× UAT (Tarek Mohamed)</t>
  </si>
  <si>
    <t xml:space="preserve">1× Product (Aml Hamdy)</t>
  </si>
  <si>
    <t xml:space="preserve">1× UX (Nada Amin)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</si>
</sst>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General"/>
    <numFmt numFmtId="167" formatCode="0.0%"/>
    <numFmt numFmtId="168" formatCode="\$#,##0"/>
    <numFmt numFmtId="169" formatCode="\$#,##0;&quot;($&quot;#,##0\);\-"/>
    <numFmt numFmtId="170" formatCode="#,##0.0"/>
    <numFmt numFmtId="171" formatCode="#,##0;\(#,##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C3AED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A1628"/>
      <name val="Arial"/>
      <family val="0"/>
      <charset val="1"/>
    </font>
    <font>
      <b val="true"/>
      <sz val="10"/>
      <color rgb="FF0A162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77FF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77FF"/>
      <name val="Arial"/>
      <family val="0"/>
      <charset val="1"/>
    </font>
    <font>
      <b val="true"/>
      <sz val="10"/>
      <color rgb="FF0077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4"/>
      <color rgb="FF10B981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4"/>
      <color rgb="FFF97316"/>
      <name val="Arial"/>
      <family val="0"/>
      <charset val="1"/>
    </font>
    <font>
      <sz val="10"/>
      <color rgb="FF64748B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5F3FF"/>
        <bgColor rgb="FFFFF7ED"/>
      </patternFill>
    </fill>
    <fill>
      <patternFill patternType="solid">
        <fgColor rgb="FFFFFF00"/>
        <bgColor rgb="FFFFFF00"/>
      </patternFill>
    </fill>
    <fill>
      <patternFill patternType="solid">
        <fgColor rgb="FFDBEAFE"/>
        <bgColor rgb="FFE2E8F0"/>
      </patternFill>
    </fill>
    <fill>
      <patternFill patternType="solid">
        <fgColor rgb="FFECFDF5"/>
        <bgColor rgb="FFF5F3FF"/>
      </patternFill>
    </fill>
    <fill>
      <patternFill patternType="solid">
        <fgColor rgb="FFFFF7ED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/>
      <right/>
      <top style="double">
        <color rgb="FF10B981"/>
      </top>
      <bottom style="double">
        <color rgb="FF10B981"/>
      </bottom>
      <diagonal/>
    </border>
    <border diagonalUp="false" diagonalDown="false">
      <left/>
      <right/>
      <top style="double">
        <color rgb="FFEF4444"/>
      </top>
      <bottom style="double">
        <color rgb="FFEF4444"/>
      </bottom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 style="double">
        <color rgb="FF0077FF"/>
      </top>
      <bottom style="double">
        <color rgb="FF0077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7ED"/>
      <rgbColor rgb="FFECFDF5"/>
      <rgbColor rgb="FF660066"/>
      <rgbColor rgb="FFFF8080"/>
      <rgbColor rgb="FF0077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5F3FF"/>
      <rgbColor rgb="FF99CCFF"/>
      <rgbColor rgb="FFFF99CC"/>
      <rgbColor rgb="FFCC99FF"/>
      <rgbColor rgb="FFFFCC99"/>
      <rgbColor rgb="FF3366FF"/>
      <rgbColor rgb="FF33CCCC"/>
      <rgbColor rgb="FF99CC00"/>
      <rgbColor rgb="FFFACC15"/>
      <rgbColor rgb="FFFF9900"/>
      <rgbColor rgb="FFF97316"/>
      <rgbColor rgb="FF64748B"/>
      <rgbColor rgb="FF969696"/>
      <rgbColor rgb="FF003366"/>
      <rgbColor rgb="FF10B981"/>
      <rgbColor rgb="FF0A1628"/>
      <rgbColor rgb="FF333300"/>
      <rgbColor rgb="FF993300"/>
      <rgbColor rgb="FFEF4444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I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6" customFormat="false" ht="15" hidden="false" customHeight="true" outlineLevel="0" collapsed="false">
      <c r="A6" s="5" t="s">
        <v>10</v>
      </c>
      <c r="B6" s="6"/>
      <c r="C6" s="6"/>
      <c r="D6" s="6"/>
      <c r="E6" s="6"/>
      <c r="F6" s="6"/>
      <c r="G6" s="6"/>
      <c r="H6" s="6"/>
      <c r="I6" s="6"/>
    </row>
    <row r="7" customFormat="false" ht="15" hidden="false" customHeight="true" outlineLevel="0" collapsed="false">
      <c r="A7" s="7" t="s">
        <v>11</v>
      </c>
      <c r="B7" s="8" t="n">
        <v>100</v>
      </c>
    </row>
    <row r="8" customFormat="false" ht="15" hidden="false" customHeight="true" outlineLevel="0" collapsed="false">
      <c r="A8" s="7" t="s">
        <v>12</v>
      </c>
      <c r="B8" s="8" t="n">
        <v>180</v>
      </c>
    </row>
    <row r="9" customFormat="false" ht="15" hidden="false" customHeight="true" outlineLevel="0" collapsed="false">
      <c r="A9" s="7" t="s">
        <v>13</v>
      </c>
      <c r="B9" s="8" t="n">
        <v>350</v>
      </c>
    </row>
    <row r="10" customFormat="false" ht="15" hidden="false" customHeight="true" outlineLevel="0" collapsed="false">
      <c r="A10" s="7" t="s">
        <v>14</v>
      </c>
      <c r="B10" s="8" t="n">
        <v>999</v>
      </c>
    </row>
    <row r="12" customFormat="false" ht="15" hidden="false" customHeight="true" outlineLevel="0" collapsed="false">
      <c r="A12" s="9" t="s">
        <v>15</v>
      </c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7" t="s">
        <v>16</v>
      </c>
      <c r="B13" s="11" t="n">
        <v>0</v>
      </c>
      <c r="C13" s="11" t="n">
        <v>0</v>
      </c>
      <c r="D13" s="11" t="n">
        <v>0</v>
      </c>
      <c r="E13" s="11" t="n">
        <v>2</v>
      </c>
    </row>
    <row r="14" customFormat="false" ht="15" hidden="false" customHeight="true" outlineLevel="0" collapsed="false">
      <c r="A14" s="7" t="s">
        <v>17</v>
      </c>
      <c r="B14" s="11" t="n">
        <v>0</v>
      </c>
      <c r="C14" s="11" t="n">
        <v>0</v>
      </c>
      <c r="D14" s="11" t="n">
        <v>2</v>
      </c>
      <c r="E14" s="11" t="n">
        <v>2</v>
      </c>
    </row>
    <row r="15" customFormat="false" ht="15" hidden="false" customHeight="true" outlineLevel="0" collapsed="false">
      <c r="A15" s="7" t="s">
        <v>18</v>
      </c>
      <c r="B15" s="11" t="n">
        <v>0</v>
      </c>
      <c r="C15" s="11" t="n">
        <v>2</v>
      </c>
      <c r="D15" s="11" t="n">
        <v>3</v>
      </c>
      <c r="E15" s="11" t="n">
        <v>5</v>
      </c>
    </row>
    <row r="16" customFormat="false" ht="15" hidden="false" customHeight="true" outlineLevel="0" collapsed="false">
      <c r="A16" s="7" t="s">
        <v>19</v>
      </c>
      <c r="B16" s="11" t="n">
        <v>0</v>
      </c>
      <c r="C16" s="11" t="n">
        <v>1</v>
      </c>
      <c r="D16" s="11" t="n">
        <v>1</v>
      </c>
      <c r="E16" s="11" t="n">
        <v>0</v>
      </c>
    </row>
    <row r="17" customFormat="false" ht="15" hidden="false" customHeight="true" outlineLevel="0" collapsed="false">
      <c r="A17" s="12" t="s">
        <v>20</v>
      </c>
      <c r="B17" s="13" t="n">
        <f aca="false">SUM(B13:B16)</f>
        <v>0</v>
      </c>
      <c r="C17" s="13" t="n">
        <f aca="false">SUM(C13:C16)</f>
        <v>3</v>
      </c>
      <c r="D17" s="13" t="n">
        <f aca="false">SUM(D13:D16)</f>
        <v>6</v>
      </c>
      <c r="E17" s="13" t="n">
        <f aca="false">SUM(E13:E16)</f>
        <v>9</v>
      </c>
    </row>
    <row r="19" customFormat="false" ht="15" hidden="false" customHeight="true" outlineLevel="0" collapsed="false">
      <c r="A19" s="14" t="s">
        <v>21</v>
      </c>
      <c r="B19" s="15"/>
      <c r="C19" s="15"/>
      <c r="D19" s="15"/>
      <c r="E19" s="15"/>
      <c r="F19" s="15"/>
      <c r="G19" s="15"/>
      <c r="H19" s="15"/>
      <c r="I19" s="15"/>
    </row>
    <row r="20" customFormat="false" ht="15" hidden="false" customHeight="true" outlineLevel="0" collapsed="false">
      <c r="A20" s="7" t="s">
        <v>16</v>
      </c>
      <c r="F20" s="13" t="n">
        <f aca="false">SUM(B13:E13)</f>
        <v>2</v>
      </c>
      <c r="G20" s="11" t="n">
        <v>120</v>
      </c>
      <c r="H20" s="11" t="n">
        <v>400</v>
      </c>
      <c r="I20" s="11" t="n">
        <v>800</v>
      </c>
    </row>
    <row r="21" customFormat="false" ht="15" hidden="false" customHeight="true" outlineLevel="0" collapsed="false">
      <c r="A21" s="7" t="s">
        <v>17</v>
      </c>
      <c r="F21" s="13" t="n">
        <f aca="false">SUM(B14:E14)</f>
        <v>4</v>
      </c>
      <c r="G21" s="11" t="n">
        <v>60</v>
      </c>
      <c r="H21" s="11" t="n">
        <v>200</v>
      </c>
      <c r="I21" s="11" t="n">
        <v>500</v>
      </c>
    </row>
    <row r="22" customFormat="false" ht="15" hidden="false" customHeight="true" outlineLevel="0" collapsed="false">
      <c r="A22" s="7" t="s">
        <v>18</v>
      </c>
      <c r="F22" s="13" t="n">
        <f aca="false">SUM(B15:E15)</f>
        <v>10</v>
      </c>
      <c r="G22" s="11" t="n">
        <v>30</v>
      </c>
      <c r="H22" s="11" t="n">
        <v>80</v>
      </c>
      <c r="I22" s="11" t="n">
        <v>200</v>
      </c>
    </row>
    <row r="23" customFormat="false" ht="15" hidden="false" customHeight="true" outlineLevel="0" collapsed="false">
      <c r="A23" s="7" t="s">
        <v>19</v>
      </c>
      <c r="F23" s="13" t="n">
        <f aca="false">SUM(B16:E16)</f>
        <v>2</v>
      </c>
      <c r="G23" s="11" t="n">
        <v>8</v>
      </c>
      <c r="H23" s="11" t="n">
        <v>20</v>
      </c>
      <c r="I23" s="11" t="n">
        <v>50</v>
      </c>
    </row>
    <row r="24" customFormat="false" ht="15" hidden="false" customHeight="true" outlineLevel="0" collapsed="false">
      <c r="A24" s="12" t="s">
        <v>22</v>
      </c>
      <c r="F24" s="13" t="n">
        <f aca="false">SUM(F20:F23)</f>
        <v>18</v>
      </c>
      <c r="G24" s="13" t="n">
        <f aca="false">SUM(G20:G23)</f>
        <v>218</v>
      </c>
      <c r="H24" s="13" t="n">
        <f aca="false">SUM(H20:H23)</f>
        <v>700</v>
      </c>
      <c r="I24" s="13" t="n">
        <f aca="false">SUM(I20:I23)</f>
        <v>1550</v>
      </c>
    </row>
    <row r="26" customFormat="false" ht="15" hidden="false" customHeight="true" outlineLevel="0" collapsed="false">
      <c r="A26" s="16" t="s">
        <v>23</v>
      </c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true" outlineLevel="0" collapsed="false">
      <c r="A27" s="7" t="s">
        <v>24</v>
      </c>
      <c r="B27" s="18" t="n">
        <v>0.03</v>
      </c>
    </row>
    <row r="29" customFormat="false" ht="15" hidden="false" customHeight="true" outlineLevel="0" collapsed="false">
      <c r="A29" s="5" t="s">
        <v>25</v>
      </c>
      <c r="B29" s="6"/>
      <c r="C29" s="6"/>
      <c r="D29" s="6"/>
      <c r="E29" s="6"/>
      <c r="F29" s="6"/>
      <c r="G29" s="6"/>
      <c r="H29" s="6"/>
      <c r="I29" s="6"/>
    </row>
    <row r="30" customFormat="false" ht="15" hidden="false" customHeight="true" outlineLevel="0" collapsed="false">
      <c r="A30" s="7" t="s">
        <v>26</v>
      </c>
      <c r="B30" s="8" t="n">
        <v>1200</v>
      </c>
      <c r="C30" s="8" t="n">
        <v>1300</v>
      </c>
      <c r="D30" s="8" t="n">
        <v>1500</v>
      </c>
      <c r="E30" s="8" t="n">
        <v>2000</v>
      </c>
    </row>
    <row r="31" customFormat="false" ht="15" hidden="false" customHeight="true" outlineLevel="0" collapsed="false">
      <c r="A31" s="3" t="s">
        <v>27</v>
      </c>
    </row>
    <row r="33" customFormat="false" ht="15" hidden="false" customHeight="true" outlineLevel="0" collapsed="false">
      <c r="A33" s="14" t="s">
        <v>28</v>
      </c>
      <c r="B33" s="15"/>
      <c r="C33" s="15"/>
      <c r="D33" s="15"/>
      <c r="E33" s="15"/>
      <c r="F33" s="15"/>
      <c r="G33" s="15"/>
      <c r="H33" s="15"/>
      <c r="I33" s="15"/>
    </row>
    <row r="34" customFormat="false" ht="15" hidden="false" customHeight="true" outlineLevel="0" collapsed="false">
      <c r="A34" s="7" t="s">
        <v>29</v>
      </c>
      <c r="B34" s="8" t="n">
        <v>4000</v>
      </c>
    </row>
    <row r="35" customFormat="false" ht="15" hidden="false" customHeight="true" outlineLevel="0" collapsed="false">
      <c r="A35" s="7" t="s">
        <v>30</v>
      </c>
      <c r="B35" s="8" t="n">
        <v>3000</v>
      </c>
    </row>
    <row r="36" customFormat="false" ht="15" hidden="false" customHeight="true" outlineLevel="0" collapsed="false">
      <c r="A36" s="7" t="s">
        <v>31</v>
      </c>
      <c r="B36" s="8" t="n">
        <v>3000</v>
      </c>
    </row>
    <row r="37" customFormat="false" ht="15" hidden="false" customHeight="true" outlineLevel="0" collapsed="false">
      <c r="A37" s="7" t="s">
        <v>32</v>
      </c>
      <c r="B37" s="8" t="n">
        <v>1500</v>
      </c>
    </row>
    <row r="38" customFormat="false" ht="15" hidden="false" customHeight="true" outlineLevel="0" collapsed="false">
      <c r="A38" s="7" t="s">
        <v>33</v>
      </c>
      <c r="B38" s="8" t="n">
        <v>700</v>
      </c>
    </row>
    <row r="39" customFormat="false" ht="15" hidden="false" customHeight="true" outlineLevel="0" collapsed="false">
      <c r="A39" s="7" t="s">
        <v>34</v>
      </c>
      <c r="B39" s="8" t="n">
        <v>700</v>
      </c>
    </row>
    <row r="40" customFormat="false" ht="15" hidden="false" customHeight="true" outlineLevel="0" collapsed="false">
      <c r="A40" s="7" t="s">
        <v>35</v>
      </c>
      <c r="B40" s="8" t="n">
        <v>1000</v>
      </c>
    </row>
    <row r="41" customFormat="false" ht="15" hidden="false" customHeight="true" outlineLevel="0" collapsed="false">
      <c r="A41" s="7" t="s">
        <v>36</v>
      </c>
      <c r="B41" s="8" t="n">
        <v>500</v>
      </c>
    </row>
    <row r="42" customFormat="false" ht="15" hidden="false" customHeight="true" outlineLevel="0" collapsed="false">
      <c r="A42" s="7" t="s">
        <v>37</v>
      </c>
      <c r="B42" s="8" t="n">
        <v>1000</v>
      </c>
    </row>
    <row r="43" customFormat="false" ht="15" hidden="false" customHeight="true" outlineLevel="0" collapsed="false">
      <c r="A43" s="12" t="s">
        <v>38</v>
      </c>
      <c r="B43" s="19" t="n">
        <f aca="false">SUM(B34:B42)</f>
        <v>15400</v>
      </c>
    </row>
    <row r="45" customFormat="false" ht="15" hidden="false" customHeight="true" outlineLevel="0" collapsed="false">
      <c r="A45" s="9" t="s">
        <v>39</v>
      </c>
      <c r="B45" s="10"/>
      <c r="C45" s="10"/>
      <c r="D45" s="10"/>
      <c r="E45" s="10"/>
      <c r="F45" s="10"/>
      <c r="G45" s="10"/>
      <c r="H45" s="10"/>
      <c r="I45" s="10"/>
    </row>
    <row r="46" customFormat="false" ht="15" hidden="false" customHeight="true" outlineLevel="0" collapsed="false">
      <c r="A46" s="7" t="s">
        <v>40</v>
      </c>
      <c r="B46" s="8" t="n">
        <v>300</v>
      </c>
    </row>
    <row r="47" customFormat="false" ht="15" hidden="false" customHeight="true" outlineLevel="0" collapsed="false">
      <c r="A47" s="7" t="s">
        <v>41</v>
      </c>
      <c r="B47" s="8" t="n">
        <v>100</v>
      </c>
    </row>
    <row r="48" customFormat="false" ht="15" hidden="false" customHeight="true" outlineLevel="0" collapsed="false">
      <c r="A48" s="7" t="s">
        <v>42</v>
      </c>
      <c r="B48" s="8" t="n">
        <v>100</v>
      </c>
    </row>
    <row r="49" customFormat="false" ht="15" hidden="false" customHeight="true" outlineLevel="0" collapsed="false">
      <c r="A49" s="7" t="s">
        <v>43</v>
      </c>
      <c r="B49" s="8" t="n">
        <v>50</v>
      </c>
    </row>
    <row r="50" customFormat="false" ht="15" hidden="false" customHeight="true" outlineLevel="0" collapsed="false">
      <c r="A50" s="7" t="s">
        <v>44</v>
      </c>
      <c r="B50" s="8" t="n">
        <v>0</v>
      </c>
    </row>
    <row r="51" customFormat="false" ht="15" hidden="false" customHeight="true" outlineLevel="0" collapsed="false">
      <c r="A51" s="7" t="s">
        <v>45</v>
      </c>
      <c r="B51" s="8" t="n">
        <v>50</v>
      </c>
    </row>
    <row r="52" customFormat="false" ht="15" hidden="false" customHeight="true" outlineLevel="0" collapsed="false">
      <c r="A52" s="12" t="s">
        <v>46</v>
      </c>
      <c r="B52" s="19" t="n">
        <f aca="false">SUM(B46:B51)</f>
        <v>600</v>
      </c>
    </row>
    <row r="54" customFormat="false" ht="15" hidden="false" customHeight="true" outlineLevel="0" collapsed="false">
      <c r="A54" s="16" t="s">
        <v>47</v>
      </c>
      <c r="B54" s="17"/>
      <c r="C54" s="17"/>
      <c r="D54" s="17"/>
      <c r="E54" s="17"/>
      <c r="F54" s="17"/>
      <c r="G54" s="17"/>
      <c r="H54" s="17"/>
      <c r="I54" s="17"/>
    </row>
    <row r="55" customFormat="false" ht="15" hidden="false" customHeight="true" outlineLevel="0" collapsed="false">
      <c r="A55" s="7" t="s">
        <v>48</v>
      </c>
      <c r="B55" s="8" t="n">
        <v>1000</v>
      </c>
    </row>
    <row r="56" customFormat="false" ht="15" hidden="false" customHeight="true" outlineLevel="0" collapsed="false">
      <c r="A56" s="7" t="s">
        <v>49</v>
      </c>
      <c r="B56" s="8" t="n">
        <v>3000</v>
      </c>
    </row>
    <row r="57" customFormat="false" ht="15" hidden="false" customHeight="true" outlineLevel="0" collapsed="false">
      <c r="A57" s="7" t="s">
        <v>50</v>
      </c>
      <c r="B57" s="8" t="n">
        <v>500</v>
      </c>
    </row>
    <row r="58" customFormat="false" ht="15" hidden="false" customHeight="true" outlineLevel="0" collapsed="false">
      <c r="A58" s="7" t="s">
        <v>51</v>
      </c>
      <c r="B58" s="8" t="n">
        <v>1000</v>
      </c>
    </row>
    <row r="59" customFormat="false" ht="15" hidden="false" customHeight="true" outlineLevel="0" collapsed="false">
      <c r="A59" s="7" t="s">
        <v>52</v>
      </c>
      <c r="B59" s="8" t="n">
        <v>200</v>
      </c>
    </row>
    <row r="62" customFormat="false" ht="15" hidden="false" customHeight="true" outlineLevel="0" collapsed="false">
      <c r="A62" s="5" t="s">
        <v>53</v>
      </c>
      <c r="B62" s="6"/>
      <c r="C62" s="6"/>
      <c r="D62" s="6"/>
      <c r="E62" s="6"/>
      <c r="F62" s="6"/>
      <c r="G62" s="6"/>
      <c r="H62" s="6"/>
      <c r="I62" s="6"/>
    </row>
    <row r="63" customFormat="false" ht="15" hidden="false" customHeight="true" outlineLevel="0" collapsed="false">
      <c r="A63" s="7" t="s">
        <v>54</v>
      </c>
      <c r="B63" s="20" t="n">
        <v>1000000</v>
      </c>
    </row>
    <row r="64" customFormat="false" ht="15" hidden="false" customHeight="true" outlineLevel="0" collapsed="false">
      <c r="A64" s="7" t="s">
        <v>55</v>
      </c>
      <c r="B64" s="21" t="s">
        <v>56</v>
      </c>
    </row>
    <row r="66" customFormat="false" ht="15" hidden="false" customHeight="true" outlineLevel="0" collapsed="false">
      <c r="A66" s="9" t="s">
        <v>57</v>
      </c>
      <c r="B66" s="10"/>
      <c r="C66" s="10"/>
      <c r="D66" s="10"/>
      <c r="E66" s="10"/>
      <c r="F66" s="10"/>
      <c r="G66" s="10"/>
      <c r="H66" s="10"/>
      <c r="I66" s="10"/>
    </row>
    <row r="67" customFormat="false" ht="15" hidden="false" customHeight="true" outlineLevel="0" collapsed="false">
      <c r="A67" s="7" t="s">
        <v>58</v>
      </c>
      <c r="B67" s="8" t="n">
        <v>50</v>
      </c>
    </row>
    <row r="68" customFormat="false" ht="15" hidden="false" customHeight="true" outlineLevel="0" collapsed="false">
      <c r="A68" s="7" t="s">
        <v>59</v>
      </c>
      <c r="B68" s="8" t="n">
        <v>100</v>
      </c>
    </row>
    <row r="69" customFormat="false" ht="15" hidden="false" customHeight="true" outlineLevel="0" collapsed="false">
      <c r="A69" s="7" t="s">
        <v>60</v>
      </c>
      <c r="B69" s="8" t="n">
        <v>250</v>
      </c>
    </row>
    <row r="70" customFormat="false" ht="15" hidden="false" customHeight="true" outlineLevel="0" collapsed="false">
      <c r="A70" s="7" t="s">
        <v>61</v>
      </c>
      <c r="B70" s="8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7FF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2" t="s">
        <v>62</v>
      </c>
    </row>
    <row r="3" customFormat="false" ht="15" hidden="false" customHeight="true" outlineLevel="0" collapsed="false">
      <c r="A3" s="4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5" customFormat="false" ht="15" hidden="false" customHeight="true" outlineLevel="0" collapsed="false">
      <c r="A5" s="14" t="s">
        <v>63</v>
      </c>
      <c r="B5" s="15"/>
      <c r="C5" s="15"/>
      <c r="D5" s="15"/>
      <c r="E5" s="15"/>
      <c r="F5" s="15"/>
      <c r="G5" s="15"/>
      <c r="H5" s="15"/>
      <c r="I5" s="15"/>
    </row>
    <row r="6" customFormat="false" ht="15" hidden="false" customHeight="true" outlineLevel="0" collapsed="false">
      <c r="A6" s="7" t="s">
        <v>64</v>
      </c>
      <c r="B6" s="1" t="n">
        <v>0</v>
      </c>
      <c r="C6" s="1" t="n">
        <v>0</v>
      </c>
      <c r="D6" s="1" t="n">
        <v>0</v>
      </c>
      <c r="E6" s="23" t="n">
        <f aca="false">Assumptions!B7*2*1.5</f>
        <v>300</v>
      </c>
      <c r="F6" s="19" t="n">
        <f aca="false">SUM(B6:E6)</f>
        <v>300</v>
      </c>
      <c r="G6" s="23" t="n">
        <f aca="false">(2+120/2)*Assumptions!B7*12</f>
        <v>74400</v>
      </c>
      <c r="H6" s="23" t="n">
        <f aca="false">(122+400/2)*Assumptions!B7*12</f>
        <v>386400</v>
      </c>
      <c r="I6" s="23" t="n">
        <f aca="false">(522+800/2)*Assumptions!B7*12</f>
        <v>1106400</v>
      </c>
    </row>
    <row r="7" customFormat="false" ht="15" hidden="false" customHeight="true" outlineLevel="0" collapsed="false">
      <c r="A7" s="7" t="s">
        <v>65</v>
      </c>
      <c r="B7" s="1" t="n">
        <v>0</v>
      </c>
      <c r="C7" s="1" t="n">
        <v>0</v>
      </c>
      <c r="D7" s="23" t="n">
        <f aca="false">Assumptions!B8*2*1.5</f>
        <v>540</v>
      </c>
      <c r="E7" s="23" t="n">
        <f aca="false">Assumptions!B8*(2*3+2*1.5)</f>
        <v>1620</v>
      </c>
      <c r="F7" s="19" t="n">
        <f aca="false">SUM(B7:E7)</f>
        <v>2160</v>
      </c>
      <c r="G7" s="23" t="n">
        <f aca="false">(4+60/2)*Assumptions!B8*12</f>
        <v>73440</v>
      </c>
      <c r="H7" s="23" t="n">
        <f aca="false">(64+200/2)*Assumptions!B8*12</f>
        <v>354240</v>
      </c>
      <c r="I7" s="23" t="n">
        <f aca="false">(264+500/2)*Assumptions!B8*12</f>
        <v>1110240</v>
      </c>
    </row>
    <row r="8" customFormat="false" ht="15" hidden="false" customHeight="true" outlineLevel="0" collapsed="false">
      <c r="A8" s="7" t="s">
        <v>66</v>
      </c>
      <c r="B8" s="1" t="n">
        <v>0</v>
      </c>
      <c r="C8" s="23" t="n">
        <f aca="false">Assumptions!B9*2*1</f>
        <v>700</v>
      </c>
      <c r="D8" s="23" t="n">
        <f aca="false">Assumptions!B9*(2*3+3*1.5)</f>
        <v>3675</v>
      </c>
      <c r="E8" s="23" t="n">
        <f aca="false">Assumptions!B9*(5*3+5*1.5)</f>
        <v>7875</v>
      </c>
      <c r="F8" s="19" t="n">
        <f aca="false">SUM(B8:E8)</f>
        <v>12250</v>
      </c>
      <c r="G8" s="23" t="n">
        <f aca="false">(10+30/2)*Assumptions!B9*12</f>
        <v>105000</v>
      </c>
      <c r="H8" s="23" t="n">
        <f aca="false">(40+80/2)*Assumptions!B9*12</f>
        <v>336000</v>
      </c>
      <c r="I8" s="23" t="n">
        <f aca="false">(120+200/2)*Assumptions!B9*12</f>
        <v>924000</v>
      </c>
    </row>
    <row r="9" customFormat="false" ht="15" hidden="false" customHeight="true" outlineLevel="0" collapsed="false">
      <c r="A9" s="7" t="s">
        <v>67</v>
      </c>
      <c r="B9" s="1" t="n">
        <v>0</v>
      </c>
      <c r="C9" s="23" t="n">
        <f aca="false">Assumptions!B10*1*1</f>
        <v>999</v>
      </c>
      <c r="D9" s="23" t="n">
        <f aca="false">Assumptions!B10*(1*3+1*1.5)</f>
        <v>4495.5</v>
      </c>
      <c r="E9" s="23" t="n">
        <f aca="false">Assumptions!B10*2*3</f>
        <v>5994</v>
      </c>
      <c r="F9" s="19" t="n">
        <f aca="false">SUM(B9:E9)</f>
        <v>11488.5</v>
      </c>
      <c r="G9" s="23" t="n">
        <f aca="false">(2+8/2)*Assumptions!B10*12</f>
        <v>71928</v>
      </c>
      <c r="H9" s="23" t="n">
        <f aca="false">(10+20/2)*Assumptions!B10*12</f>
        <v>239760</v>
      </c>
      <c r="I9" s="23" t="n">
        <f aca="false">(30+50/2)*Assumptions!B10*12</f>
        <v>659340</v>
      </c>
    </row>
    <row r="10" customFormat="false" ht="15" hidden="false" customHeight="true" outlineLevel="0" collapsed="false">
      <c r="A10" s="7" t="s">
        <v>68</v>
      </c>
      <c r="B10" s="1" t="n">
        <v>0</v>
      </c>
      <c r="C10" s="24" t="n">
        <v>9000</v>
      </c>
      <c r="D10" s="24" t="n">
        <v>5000</v>
      </c>
      <c r="E10" s="24" t="n">
        <v>8000</v>
      </c>
      <c r="F10" s="19" t="n">
        <f aca="false">SUM(B10:E10)</f>
        <v>22000</v>
      </c>
      <c r="G10" s="24" t="n">
        <v>60000</v>
      </c>
      <c r="H10" s="24" t="n">
        <v>120000</v>
      </c>
      <c r="I10" s="24" t="n">
        <v>200000</v>
      </c>
    </row>
    <row r="11" customFormat="false" ht="15" hidden="false" customHeight="true" outlineLevel="0" collapsed="false">
      <c r="A11" s="7" t="s">
        <v>69</v>
      </c>
      <c r="B11" s="24" t="n">
        <v>0</v>
      </c>
      <c r="C11" s="24" t="n">
        <v>0</v>
      </c>
      <c r="D11" s="24" t="n">
        <v>100</v>
      </c>
      <c r="E11" s="24" t="n">
        <v>500</v>
      </c>
      <c r="F11" s="19" t="n">
        <f aca="false">SUM(B11:E11)</f>
        <v>600</v>
      </c>
      <c r="G11" s="24" t="n">
        <v>5000</v>
      </c>
      <c r="H11" s="24" t="n">
        <v>15000</v>
      </c>
      <c r="I11" s="24" t="n">
        <v>40000</v>
      </c>
    </row>
    <row r="13" customFormat="false" ht="15" hidden="false" customHeight="true" outlineLevel="0" collapsed="false">
      <c r="A13" s="25" t="s">
        <v>70</v>
      </c>
      <c r="B13" s="26" t="n">
        <f aca="false">SUM(B6:B11)</f>
        <v>0</v>
      </c>
      <c r="C13" s="26" t="n">
        <f aca="false">SUM(C6:C11)</f>
        <v>10699</v>
      </c>
      <c r="D13" s="26" t="n">
        <f aca="false">SUM(D6:D11)</f>
        <v>13810.5</v>
      </c>
      <c r="E13" s="26" t="n">
        <f aca="false">SUM(E6:E11)</f>
        <v>24289</v>
      </c>
      <c r="F13" s="26" t="n">
        <f aca="false">SUM(F6:F11)</f>
        <v>48798.5</v>
      </c>
      <c r="G13" s="26" t="n">
        <f aca="false">SUM(G6:G11)</f>
        <v>389768</v>
      </c>
      <c r="H13" s="26" t="n">
        <f aca="false">SUM(H6:H11)</f>
        <v>1451400</v>
      </c>
      <c r="I13" s="26" t="n">
        <f aca="false">SUM(I6:I11)</f>
        <v>4039980</v>
      </c>
    </row>
    <row r="15" customFormat="false" ht="15" hidden="false" customHeight="true" outlineLevel="0" collapsed="false">
      <c r="A15" s="16" t="s">
        <v>71</v>
      </c>
      <c r="B15" s="17"/>
      <c r="C15" s="17"/>
      <c r="D15" s="17"/>
      <c r="E15" s="17"/>
      <c r="F15" s="17"/>
      <c r="G15" s="17"/>
      <c r="H15" s="17"/>
      <c r="I15" s="17"/>
    </row>
    <row r="16" customFormat="false" ht="15" hidden="false" customHeight="true" outlineLevel="0" collapsed="false">
      <c r="A16" s="7" t="s">
        <v>72</v>
      </c>
      <c r="B16" s="27" t="n">
        <f aca="false">Assumptions!B30*3</f>
        <v>3600</v>
      </c>
      <c r="C16" s="27" t="n">
        <f aca="false">Assumptions!C30*3</f>
        <v>3900</v>
      </c>
      <c r="D16" s="27" t="n">
        <f aca="false">Assumptions!D30*3</f>
        <v>4500</v>
      </c>
      <c r="E16" s="27" t="n">
        <f aca="false">Assumptions!E30*3</f>
        <v>6000</v>
      </c>
      <c r="F16" s="19" t="n">
        <f aca="false">SUM(B16:E16)</f>
        <v>18000</v>
      </c>
      <c r="G16" s="27" t="n">
        <f aca="false">Assumptions!B34*12</f>
        <v>48000</v>
      </c>
      <c r="H16" s="27" t="n">
        <f aca="false">Assumptions!B34*12</f>
        <v>48000</v>
      </c>
      <c r="I16" s="27" t="n">
        <f aca="false">Assumptions!B34*12</f>
        <v>48000</v>
      </c>
    </row>
    <row r="17" customFormat="false" ht="15" hidden="false" customHeight="true" outlineLevel="0" collapsed="false">
      <c r="A17" s="7" t="s">
        <v>73</v>
      </c>
      <c r="B17" s="19" t="n">
        <v>0</v>
      </c>
      <c r="C17" s="19" t="n">
        <v>0</v>
      </c>
      <c r="D17" s="19" t="n">
        <v>0</v>
      </c>
      <c r="E17" s="19" t="n">
        <v>0</v>
      </c>
      <c r="F17" s="19" t="n">
        <f aca="false">SUM(B17:E17)</f>
        <v>0</v>
      </c>
      <c r="G17" s="27" t="n">
        <f aca="false">(Assumptions!B43-Assumptions!B34)*12</f>
        <v>136800</v>
      </c>
      <c r="H17" s="19" t="n">
        <f aca="false">G17*1.15</f>
        <v>157320</v>
      </c>
      <c r="I17" s="19" t="n">
        <f aca="false">H17*1.2</f>
        <v>188784</v>
      </c>
    </row>
    <row r="18" customFormat="false" ht="15" hidden="false" customHeight="true" outlineLevel="0" collapsed="false">
      <c r="A18" s="7" t="s">
        <v>74</v>
      </c>
      <c r="B18" s="27" t="n">
        <f aca="false">Assumptions!B52*3*1</f>
        <v>1800</v>
      </c>
      <c r="C18" s="27" t="n">
        <f aca="false">Assumptions!B52*3*1.15</f>
        <v>2070</v>
      </c>
      <c r="D18" s="27" t="n">
        <f aca="false">Assumptions!B52*3*1.3</f>
        <v>2340</v>
      </c>
      <c r="E18" s="27" t="n">
        <f aca="false">Assumptions!B52*3*1.45</f>
        <v>2610</v>
      </c>
      <c r="F18" s="19" t="n">
        <f aca="false">SUM(B18:E18)</f>
        <v>8820</v>
      </c>
      <c r="G18" s="19" t="n">
        <f aca="false">Assumptions!B52*12*1.5</f>
        <v>10800</v>
      </c>
      <c r="H18" s="19" t="n">
        <f aca="false">G18*1.8</f>
        <v>19440</v>
      </c>
      <c r="I18" s="19" t="n">
        <f aca="false">H18*2</f>
        <v>38880</v>
      </c>
    </row>
    <row r="19" customFormat="false" ht="15" hidden="false" customHeight="true" outlineLevel="0" collapsed="false">
      <c r="A19" s="7" t="s">
        <v>75</v>
      </c>
      <c r="B19" s="24" t="n">
        <v>0</v>
      </c>
      <c r="C19" s="24" t="n">
        <v>500</v>
      </c>
      <c r="D19" s="24" t="n">
        <v>750</v>
      </c>
      <c r="E19" s="24" t="n">
        <v>1500</v>
      </c>
      <c r="F19" s="19" t="n">
        <f aca="false">SUM(B19:E19)</f>
        <v>2750</v>
      </c>
      <c r="G19" s="24" t="n">
        <v>35000</v>
      </c>
      <c r="H19" s="24" t="n">
        <v>85000</v>
      </c>
      <c r="I19" s="24" t="n">
        <v>180000</v>
      </c>
    </row>
    <row r="20" customFormat="false" ht="15" hidden="false" customHeight="true" outlineLevel="0" collapsed="false">
      <c r="A20" s="7" t="s">
        <v>76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SUM(B20:E20)</f>
        <v>0</v>
      </c>
      <c r="G20" s="24" t="n">
        <v>18000</v>
      </c>
      <c r="H20" s="24" t="n">
        <v>24000</v>
      </c>
      <c r="I20" s="24" t="n">
        <v>30000</v>
      </c>
    </row>
    <row r="21" customFormat="false" ht="15" hidden="false" customHeight="true" outlineLevel="0" collapsed="false">
      <c r="A21" s="7" t="s">
        <v>49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SUM(B21:E21)</f>
        <v>0</v>
      </c>
      <c r="G21" s="24" t="n">
        <v>5000</v>
      </c>
      <c r="H21" s="24" t="n">
        <v>8000</v>
      </c>
      <c r="I21" s="24" t="n">
        <v>5000</v>
      </c>
    </row>
    <row r="22" customFormat="false" ht="15" hidden="false" customHeight="true" outlineLevel="0" collapsed="false">
      <c r="A22" s="7" t="s">
        <v>77</v>
      </c>
      <c r="B22" s="24" t="n">
        <v>0</v>
      </c>
      <c r="C22" s="24" t="n">
        <v>0</v>
      </c>
      <c r="D22" s="24" t="n">
        <v>500</v>
      </c>
      <c r="E22" s="24" t="n">
        <v>1500</v>
      </c>
      <c r="F22" s="19" t="n">
        <f aca="false">SUM(B22:E22)</f>
        <v>2000</v>
      </c>
      <c r="G22" s="24" t="n">
        <v>18000</v>
      </c>
      <c r="H22" s="24" t="n">
        <v>36000</v>
      </c>
      <c r="I22" s="24" t="n">
        <v>60000</v>
      </c>
    </row>
    <row r="24" customFormat="false" ht="15" hidden="false" customHeight="true" outlineLevel="0" collapsed="false">
      <c r="A24" s="28" t="s">
        <v>78</v>
      </c>
      <c r="B24" s="29" t="n">
        <f aca="false">SUM(B16:B22)</f>
        <v>5400</v>
      </c>
      <c r="C24" s="29" t="n">
        <f aca="false">SUM(C16:C22)</f>
        <v>6470</v>
      </c>
      <c r="D24" s="29" t="n">
        <f aca="false">SUM(D16:D22)</f>
        <v>8090</v>
      </c>
      <c r="E24" s="29" t="n">
        <f aca="false">SUM(E16:E22)</f>
        <v>11610</v>
      </c>
      <c r="F24" s="29" t="n">
        <f aca="false">SUM(F16:F22)</f>
        <v>31570</v>
      </c>
      <c r="G24" s="29" t="n">
        <f aca="false">SUM(G16:G22)</f>
        <v>271600</v>
      </c>
      <c r="H24" s="29" t="n">
        <f aca="false">SUM(H16:H22)</f>
        <v>377760</v>
      </c>
      <c r="I24" s="29" t="n">
        <f aca="false">SUM(I16:I22)</f>
        <v>550664</v>
      </c>
    </row>
    <row r="26" customFormat="false" ht="15" hidden="false" customHeight="true" outlineLevel="0" collapsed="false">
      <c r="A26" s="30" t="s">
        <v>79</v>
      </c>
      <c r="B26" s="31" t="n">
        <f aca="false">B13-B24</f>
        <v>-5400</v>
      </c>
      <c r="C26" s="31" t="n">
        <f aca="false">C13-C24</f>
        <v>4229</v>
      </c>
      <c r="D26" s="31" t="n">
        <f aca="false">D13-D24</f>
        <v>5720.5</v>
      </c>
      <c r="E26" s="31" t="n">
        <f aca="false">E13-E24</f>
        <v>12679</v>
      </c>
      <c r="F26" s="31" t="n">
        <f aca="false">F13-F24</f>
        <v>17228.5</v>
      </c>
      <c r="G26" s="31" t="n">
        <f aca="false">G13-G24</f>
        <v>118168</v>
      </c>
      <c r="H26" s="31" t="n">
        <f aca="false">H13-H24</f>
        <v>1073640</v>
      </c>
      <c r="I26" s="31" t="n">
        <f aca="false">I13-I24</f>
        <v>3489316</v>
      </c>
    </row>
    <row r="28" customFormat="false" ht="15" hidden="false" customHeight="true" outlineLevel="0" collapsed="false">
      <c r="A28" s="9" t="s">
        <v>80</v>
      </c>
      <c r="B28" s="10"/>
      <c r="C28" s="10"/>
      <c r="D28" s="10"/>
      <c r="E28" s="10"/>
      <c r="F28" s="10"/>
      <c r="G28" s="10"/>
      <c r="H28" s="10"/>
      <c r="I28" s="10"/>
    </row>
    <row r="29" customFormat="false" ht="15" hidden="false" customHeight="true" outlineLevel="0" collapsed="false">
      <c r="A29" s="7" t="s">
        <v>81</v>
      </c>
      <c r="B29" s="24" t="n">
        <v>0</v>
      </c>
      <c r="C29" s="19" t="n">
        <f aca="false">B31</f>
        <v>-5400</v>
      </c>
      <c r="D29" s="19" t="n">
        <f aca="false">C31</f>
        <v>-1171</v>
      </c>
      <c r="E29" s="19" t="n">
        <f aca="false">D31</f>
        <v>4549.5</v>
      </c>
      <c r="F29" s="19" t="n">
        <f aca="false">B29</f>
        <v>0</v>
      </c>
      <c r="G29" s="27" t="n">
        <f aca="false">F31+Assumptions!B63</f>
        <v>1017228.5</v>
      </c>
      <c r="H29" s="19" t="n">
        <f aca="false">G31</f>
        <v>1135396.5</v>
      </c>
      <c r="I29" s="19" t="n">
        <f aca="false">H31</f>
        <v>2209036.5</v>
      </c>
    </row>
    <row r="30" customFormat="false" ht="15" hidden="false" customHeight="true" outlineLevel="0" collapsed="false">
      <c r="A30" s="7" t="s">
        <v>82</v>
      </c>
      <c r="B30" s="19" t="n">
        <f aca="false">B26</f>
        <v>-5400</v>
      </c>
      <c r="C30" s="19" t="n">
        <f aca="false">C26</f>
        <v>4229</v>
      </c>
      <c r="D30" s="19" t="n">
        <f aca="false">D26</f>
        <v>5720.5</v>
      </c>
      <c r="E30" s="19" t="n">
        <f aca="false">E26</f>
        <v>12679</v>
      </c>
      <c r="F30" s="19" t="n">
        <f aca="false">F26</f>
        <v>17228.5</v>
      </c>
      <c r="G30" s="19" t="n">
        <f aca="false">G26</f>
        <v>118168</v>
      </c>
      <c r="H30" s="19" t="n">
        <f aca="false">H26</f>
        <v>1073640</v>
      </c>
      <c r="I30" s="19" t="n">
        <f aca="false">I26</f>
        <v>3489316</v>
      </c>
    </row>
    <row r="31" customFormat="false" ht="15" hidden="false" customHeight="true" outlineLevel="0" collapsed="false">
      <c r="A31" s="32" t="s">
        <v>83</v>
      </c>
      <c r="B31" s="33" t="n">
        <f aca="false">B29+B30</f>
        <v>-5400</v>
      </c>
      <c r="C31" s="33" t="n">
        <f aca="false">C29+C30</f>
        <v>-1171</v>
      </c>
      <c r="D31" s="33" t="n">
        <f aca="false">D29+D30</f>
        <v>4549.5</v>
      </c>
      <c r="E31" s="33" t="n">
        <f aca="false">E29+E30</f>
        <v>17228.5</v>
      </c>
      <c r="F31" s="33" t="n">
        <f aca="false">F29+F30</f>
        <v>17228.5</v>
      </c>
      <c r="G31" s="33" t="n">
        <f aca="false">G29+G30</f>
        <v>1135396.5</v>
      </c>
      <c r="H31" s="33" t="n">
        <f aca="false">H29+H30</f>
        <v>2209036.5</v>
      </c>
      <c r="I31" s="33" t="n">
        <f aca="false">I29+I30</f>
        <v>5698352.5</v>
      </c>
    </row>
    <row r="32" customFormat="false" ht="15" hidden="false" customHeight="true" outlineLevel="0" collapsed="false">
      <c r="A32" s="7" t="s">
        <v>84</v>
      </c>
      <c r="B32" s="19" t="n">
        <f aca="false">IF(B26&lt;0,ABS(B26)/3,0)</f>
        <v>1800</v>
      </c>
      <c r="C32" s="19" t="n">
        <f aca="false">IF(C26&lt;0,ABS(C26)/3,0)</f>
        <v>0</v>
      </c>
      <c r="D32" s="19" t="n">
        <f aca="false">IF(D26&lt;0,ABS(D26)/3,0)</f>
        <v>0</v>
      </c>
      <c r="E32" s="19" t="n">
        <f aca="false">IF(E26&lt;0,ABS(E26)/3,0)</f>
        <v>0</v>
      </c>
      <c r="F32" s="19" t="n">
        <f aca="false">IF(F26&lt;0,ABS(F26)/12,0)</f>
        <v>0</v>
      </c>
      <c r="G32" s="19" t="n">
        <f aca="false">IF(G26&lt;0,ABS(G26)/12,0)</f>
        <v>0</v>
      </c>
      <c r="H32" s="19" t="n">
        <f aca="false">IF(H26&lt;0,ABS(H26)/12,0)</f>
        <v>0</v>
      </c>
      <c r="I32" s="19" t="n">
        <f aca="false">IF(I26&lt;0,ABS(I26)/12,0)</f>
        <v>0</v>
      </c>
    </row>
    <row r="33" customFormat="false" ht="15" hidden="false" customHeight="true" outlineLevel="0" collapsed="false">
      <c r="A33" s="7" t="s">
        <v>85</v>
      </c>
      <c r="B33" s="34" t="n">
        <f aca="false">IF(B32&gt;0,B31/B32,999)</f>
        <v>-3</v>
      </c>
      <c r="C33" s="34" t="n">
        <f aca="false">IF(C32&gt;0,C31/C32,999)</f>
        <v>999</v>
      </c>
      <c r="D33" s="34" t="n">
        <f aca="false">IF(D32&gt;0,D31/D32,999)</f>
        <v>999</v>
      </c>
      <c r="E33" s="34" t="n">
        <f aca="false">IF(E32&gt;0,E31/E32,999)</f>
        <v>999</v>
      </c>
      <c r="F33" s="34" t="n">
        <f aca="false">IF(F32&gt;0,F31/F32,999)</f>
        <v>999</v>
      </c>
      <c r="G33" s="34" t="n">
        <f aca="false">IF(G32&gt;0,G31/G32,999)</f>
        <v>999</v>
      </c>
      <c r="H33" s="34" t="n">
        <f aca="false">IF(H32&gt;0,H31/H32,999)</f>
        <v>999</v>
      </c>
      <c r="I33" s="34" t="n">
        <f aca="false">IF(I32&gt;0,I31/I32,999)</f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86</v>
      </c>
    </row>
    <row r="3" customFormat="false" ht="15" hidden="false" customHeight="true" outlineLevel="0" collapsed="false">
      <c r="A3" s="4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5" customFormat="false" ht="15" hidden="false" customHeight="true" outlineLevel="0" collapsed="false">
      <c r="A5" s="16" t="s">
        <v>87</v>
      </c>
      <c r="B5" s="17"/>
      <c r="C5" s="17"/>
      <c r="D5" s="17"/>
      <c r="E5" s="17"/>
      <c r="F5" s="17"/>
      <c r="G5" s="17"/>
      <c r="H5" s="17"/>
      <c r="I5" s="17"/>
    </row>
    <row r="6" customFormat="false" ht="15" hidden="false" customHeight="true" outlineLevel="0" collapsed="false">
      <c r="A6" s="7" t="s">
        <v>88</v>
      </c>
      <c r="B6" s="1" t="n">
        <v>0</v>
      </c>
      <c r="C6" s="13" t="n">
        <f aca="false">B9</f>
        <v>0</v>
      </c>
      <c r="D6" s="13" t="n">
        <f aca="false">C9</f>
        <v>0</v>
      </c>
      <c r="E6" s="13" t="n">
        <f aca="false">D9</f>
        <v>0</v>
      </c>
    </row>
    <row r="7" customFormat="false" ht="15" hidden="false" customHeight="true" outlineLevel="0" collapsed="false">
      <c r="A7" s="7" t="s">
        <v>89</v>
      </c>
      <c r="B7" s="35" t="n">
        <f aca="false">Assumptions!B13</f>
        <v>0</v>
      </c>
      <c r="C7" s="35" t="n">
        <f aca="false">Assumptions!C13</f>
        <v>0</v>
      </c>
      <c r="D7" s="35" t="n">
        <f aca="false">Assumptions!D13</f>
        <v>0</v>
      </c>
      <c r="E7" s="35" t="n">
        <f aca="false">Assumptions!E13</f>
        <v>2</v>
      </c>
    </row>
    <row r="8" customFormat="false" ht="15" hidden="false" customHeight="true" outlineLevel="0" collapsed="false">
      <c r="A8" s="7" t="s">
        <v>90</v>
      </c>
      <c r="B8" s="13" t="n">
        <f aca="false">-ROUND(B6*Assumptions!B27,0)</f>
        <v>-0</v>
      </c>
      <c r="C8" s="13" t="n">
        <f aca="false">-ROUND(C6*Assumptions!B27,0)</f>
        <v>-0</v>
      </c>
      <c r="D8" s="13" t="n">
        <f aca="false">-ROUND(D6*Assumptions!B27,0)</f>
        <v>-0</v>
      </c>
      <c r="E8" s="13" t="n">
        <f aca="false">-ROUND(E6*Assumptions!B27,0)</f>
        <v>-0</v>
      </c>
    </row>
    <row r="9" customFormat="false" ht="15" hidden="false" customHeight="true" outlineLevel="0" collapsed="false">
      <c r="A9" s="36" t="s">
        <v>91</v>
      </c>
      <c r="B9" s="36" t="n">
        <f aca="false">B6+B7+B8</f>
        <v>0</v>
      </c>
      <c r="C9" s="36" t="n">
        <f aca="false">C6+C7+C8</f>
        <v>0</v>
      </c>
      <c r="D9" s="36" t="n">
        <f aca="false">D6+D7+D8</f>
        <v>0</v>
      </c>
      <c r="E9" s="36" t="n">
        <f aca="false">E6+E7+E8</f>
        <v>2</v>
      </c>
      <c r="F9" s="13" t="n">
        <f aca="false">E9</f>
        <v>2</v>
      </c>
      <c r="G9" s="13" t="n">
        <f aca="false">ROUND(F9*(1-Assumptions!B27*12)+Assumptions!G20,0)</f>
        <v>121</v>
      </c>
      <c r="H9" s="13" t="n">
        <f aca="false">ROUND(G9*(1-Assumptions!B27*12)+Assumptions!H20,0)</f>
        <v>477</v>
      </c>
      <c r="I9" s="13" t="n">
        <f aca="false">ROUND(H9*(1-Assumptions!B27*12)+Assumptions!I20,0)</f>
        <v>1105</v>
      </c>
    </row>
    <row r="11" customFormat="false" ht="15" hidden="false" customHeight="true" outlineLevel="0" collapsed="false">
      <c r="A11" s="14" t="s">
        <v>92</v>
      </c>
      <c r="B11" s="15"/>
      <c r="C11" s="15"/>
      <c r="D11" s="15"/>
      <c r="E11" s="15"/>
      <c r="F11" s="15"/>
      <c r="G11" s="15"/>
      <c r="H11" s="15"/>
      <c r="I11" s="15"/>
    </row>
    <row r="12" customFormat="false" ht="15" hidden="false" customHeight="true" outlineLevel="0" collapsed="false">
      <c r="A12" s="7" t="s">
        <v>93</v>
      </c>
      <c r="B12" s="1" t="n">
        <v>0</v>
      </c>
      <c r="C12" s="13" t="n">
        <f aca="false">B15</f>
        <v>0</v>
      </c>
      <c r="D12" s="13" t="n">
        <f aca="false">C15</f>
        <v>0</v>
      </c>
      <c r="E12" s="13" t="n">
        <f aca="false">D15</f>
        <v>2</v>
      </c>
    </row>
    <row r="13" customFormat="false" ht="15" hidden="false" customHeight="true" outlineLevel="0" collapsed="false">
      <c r="A13" s="7" t="s">
        <v>94</v>
      </c>
      <c r="B13" s="35" t="n">
        <f aca="false">Assumptions!B14</f>
        <v>0</v>
      </c>
      <c r="C13" s="35" t="n">
        <f aca="false">Assumptions!C14</f>
        <v>0</v>
      </c>
      <c r="D13" s="35" t="n">
        <f aca="false">Assumptions!D14</f>
        <v>2</v>
      </c>
      <c r="E13" s="35" t="n">
        <f aca="false">Assumptions!E14</f>
        <v>2</v>
      </c>
    </row>
    <row r="14" customFormat="false" ht="15" hidden="false" customHeight="true" outlineLevel="0" collapsed="false">
      <c r="A14" s="7" t="s">
        <v>95</v>
      </c>
      <c r="B14" s="13" t="n">
        <f aca="false">-ROUND(B12*Assumptions!B27,0)</f>
        <v>-0</v>
      </c>
      <c r="C14" s="13" t="n">
        <f aca="false">-ROUND(C12*Assumptions!B27,0)</f>
        <v>-0</v>
      </c>
      <c r="D14" s="13" t="n">
        <f aca="false">-ROUND(D12*Assumptions!B27,0)</f>
        <v>-0</v>
      </c>
      <c r="E14" s="13" t="n">
        <f aca="false">-ROUND(E12*Assumptions!B27,0)</f>
        <v>-0</v>
      </c>
    </row>
    <row r="15" customFormat="false" ht="15" hidden="false" customHeight="true" outlineLevel="0" collapsed="false">
      <c r="A15" s="36" t="s">
        <v>96</v>
      </c>
      <c r="B15" s="36" t="n">
        <f aca="false">B12+B13+B14</f>
        <v>0</v>
      </c>
      <c r="C15" s="36" t="n">
        <f aca="false">C12+C13+C14</f>
        <v>0</v>
      </c>
      <c r="D15" s="36" t="n">
        <f aca="false">D12+D13+D14</f>
        <v>2</v>
      </c>
      <c r="E15" s="36" t="n">
        <f aca="false">E12+E13+E14</f>
        <v>4</v>
      </c>
      <c r="F15" s="13" t="n">
        <f aca="false">E15</f>
        <v>4</v>
      </c>
      <c r="G15" s="13" t="n">
        <f aca="false">ROUND(F15*(1-Assumptions!B27*12)+Assumptions!G21,0)</f>
        <v>63</v>
      </c>
      <c r="H15" s="13" t="n">
        <f aca="false">ROUND(G15*(1-Assumptions!B27*12)+Assumptions!H21,0)</f>
        <v>240</v>
      </c>
      <c r="I15" s="13" t="n">
        <f aca="false">ROUND(H15*(1-Assumptions!B27*12)+Assumptions!I21,0)</f>
        <v>654</v>
      </c>
    </row>
    <row r="17" customFormat="false" ht="15" hidden="false" customHeight="true" outlineLevel="0" collapsed="false">
      <c r="A17" s="9" t="s">
        <v>97</v>
      </c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7" t="s">
        <v>98</v>
      </c>
      <c r="B18" s="1" t="n">
        <v>0</v>
      </c>
      <c r="C18" s="13" t="n">
        <f aca="false">B21</f>
        <v>0</v>
      </c>
      <c r="D18" s="13" t="n">
        <f aca="false">C21</f>
        <v>2</v>
      </c>
      <c r="E18" s="13" t="n">
        <f aca="false">D21</f>
        <v>5</v>
      </c>
    </row>
    <row r="19" customFormat="false" ht="15" hidden="false" customHeight="true" outlineLevel="0" collapsed="false">
      <c r="A19" s="7" t="s">
        <v>99</v>
      </c>
      <c r="B19" s="35" t="n">
        <f aca="false">Assumptions!B15</f>
        <v>0</v>
      </c>
      <c r="C19" s="35" t="n">
        <f aca="false">Assumptions!C15</f>
        <v>2</v>
      </c>
      <c r="D19" s="35" t="n">
        <f aca="false">Assumptions!D15</f>
        <v>3</v>
      </c>
      <c r="E19" s="35" t="n">
        <f aca="false">Assumptions!E15</f>
        <v>5</v>
      </c>
    </row>
    <row r="20" customFormat="false" ht="15" hidden="false" customHeight="true" outlineLevel="0" collapsed="false">
      <c r="A20" s="7" t="s">
        <v>100</v>
      </c>
      <c r="B20" s="13" t="n">
        <f aca="false">-ROUND(B18*Assumptions!B27,0)</f>
        <v>-0</v>
      </c>
      <c r="C20" s="13" t="n">
        <f aca="false">-ROUND(C18*Assumptions!B27,0)</f>
        <v>-0</v>
      </c>
      <c r="D20" s="13" t="n">
        <f aca="false">-ROUND(D18*Assumptions!B27,0)</f>
        <v>-0</v>
      </c>
      <c r="E20" s="13" t="n">
        <f aca="false">-ROUND(E18*Assumptions!B27,0)</f>
        <v>-0</v>
      </c>
    </row>
    <row r="21" customFormat="false" ht="15" hidden="false" customHeight="true" outlineLevel="0" collapsed="false">
      <c r="A21" s="36" t="s">
        <v>101</v>
      </c>
      <c r="B21" s="36" t="n">
        <f aca="false">B18+B19+B20</f>
        <v>0</v>
      </c>
      <c r="C21" s="36" t="n">
        <f aca="false">C18+C19+C20</f>
        <v>2</v>
      </c>
      <c r="D21" s="36" t="n">
        <f aca="false">D18+D19+D20</f>
        <v>5</v>
      </c>
      <c r="E21" s="36" t="n">
        <f aca="false">E18+E19+E20</f>
        <v>10</v>
      </c>
      <c r="F21" s="13" t="n">
        <f aca="false">E21</f>
        <v>10</v>
      </c>
      <c r="G21" s="13" t="n">
        <f aca="false">ROUND(F21*(1-Assumptions!B27*12)+Assumptions!G22,0)</f>
        <v>36</v>
      </c>
      <c r="H21" s="13" t="n">
        <f aca="false">ROUND(G21*(1-Assumptions!B27*12)+Assumptions!H22,0)</f>
        <v>103</v>
      </c>
      <c r="I21" s="13" t="n">
        <f aca="false">ROUND(H21*(1-Assumptions!B27*12)+Assumptions!I22,0)</f>
        <v>266</v>
      </c>
    </row>
    <row r="23" customFormat="false" ht="15" hidden="false" customHeight="true" outlineLevel="0" collapsed="false">
      <c r="A23" s="5" t="s">
        <v>102</v>
      </c>
      <c r="B23" s="6"/>
      <c r="C23" s="6"/>
      <c r="D23" s="6"/>
      <c r="E23" s="6"/>
      <c r="F23" s="6"/>
      <c r="G23" s="6"/>
      <c r="H23" s="6"/>
      <c r="I23" s="6"/>
    </row>
    <row r="24" customFormat="false" ht="15" hidden="false" customHeight="true" outlineLevel="0" collapsed="false">
      <c r="A24" s="7" t="s">
        <v>103</v>
      </c>
      <c r="B24" s="1" t="n">
        <v>0</v>
      </c>
      <c r="C24" s="13" t="n">
        <f aca="false">B27</f>
        <v>0</v>
      </c>
      <c r="D24" s="13" t="n">
        <f aca="false">C27</f>
        <v>1</v>
      </c>
      <c r="E24" s="13" t="n">
        <f aca="false">D27</f>
        <v>2</v>
      </c>
    </row>
    <row r="25" customFormat="false" ht="15" hidden="false" customHeight="true" outlineLevel="0" collapsed="false">
      <c r="A25" s="7" t="s">
        <v>104</v>
      </c>
      <c r="B25" s="35" t="n">
        <f aca="false">Assumptions!B16</f>
        <v>0</v>
      </c>
      <c r="C25" s="35" t="n">
        <f aca="false">Assumptions!C16</f>
        <v>1</v>
      </c>
      <c r="D25" s="35" t="n">
        <f aca="false">Assumptions!D16</f>
        <v>1</v>
      </c>
      <c r="E25" s="35" t="n">
        <f aca="false">Assumptions!E16</f>
        <v>0</v>
      </c>
    </row>
    <row r="26" customFormat="false" ht="15" hidden="false" customHeight="true" outlineLevel="0" collapsed="false">
      <c r="A26" s="7" t="s">
        <v>105</v>
      </c>
      <c r="B26" s="13" t="n">
        <f aca="false">-ROUND(B24*Assumptions!B27,0)</f>
        <v>-0</v>
      </c>
      <c r="C26" s="13" t="n">
        <f aca="false">-ROUND(C24*Assumptions!B27,0)</f>
        <v>-0</v>
      </c>
      <c r="D26" s="13" t="n">
        <f aca="false">-ROUND(D24*Assumptions!B27,0)</f>
        <v>-0</v>
      </c>
      <c r="E26" s="13" t="n">
        <f aca="false">-ROUND(E24*Assumptions!B27,0)</f>
        <v>-0</v>
      </c>
    </row>
    <row r="27" customFormat="false" ht="15" hidden="false" customHeight="true" outlineLevel="0" collapsed="false">
      <c r="A27" s="36" t="s">
        <v>106</v>
      </c>
      <c r="B27" s="36" t="n">
        <f aca="false">B24+B25+B26</f>
        <v>0</v>
      </c>
      <c r="C27" s="36" t="n">
        <f aca="false">C24+C25+C26</f>
        <v>1</v>
      </c>
      <c r="D27" s="36" t="n">
        <f aca="false">D24+D25+D26</f>
        <v>2</v>
      </c>
      <c r="E27" s="36" t="n">
        <f aca="false">E24+E25+E26</f>
        <v>2</v>
      </c>
      <c r="F27" s="13" t="n">
        <f aca="false">E27</f>
        <v>2</v>
      </c>
      <c r="G27" s="13" t="n">
        <f aca="false">ROUND(F27*(1-Assumptions!B27*12)+Assumptions!G23,0)</f>
        <v>9</v>
      </c>
      <c r="H27" s="13" t="n">
        <f aca="false">ROUND(G27*(1-Assumptions!B27*12)+Assumptions!H23,0)</f>
        <v>26</v>
      </c>
      <c r="I27" s="13" t="n">
        <f aca="false">ROUND(H27*(1-Assumptions!B27*12)+Assumptions!I23,0)</f>
        <v>67</v>
      </c>
    </row>
    <row r="29" customFormat="false" ht="15" hidden="false" customHeight="true" outlineLevel="0" collapsed="false">
      <c r="A29" s="5" t="s">
        <v>107</v>
      </c>
      <c r="B29" s="6"/>
      <c r="C29" s="6"/>
      <c r="D29" s="6"/>
      <c r="E29" s="6"/>
      <c r="F29" s="6"/>
      <c r="G29" s="6"/>
      <c r="H29" s="6"/>
      <c r="I29" s="6"/>
    </row>
    <row r="30" customFormat="false" ht="15" hidden="false" customHeight="true" outlineLevel="0" collapsed="false">
      <c r="A30" s="37" t="s">
        <v>108</v>
      </c>
      <c r="B30" s="38" t="n">
        <f aca="false">B9+B15+B21+B27</f>
        <v>0</v>
      </c>
      <c r="C30" s="38" t="n">
        <f aca="false">C9+C15+C21+C27</f>
        <v>3</v>
      </c>
      <c r="D30" s="38" t="n">
        <f aca="false">D9+D15+D21+D27</f>
        <v>9</v>
      </c>
      <c r="E30" s="38" t="n">
        <f aca="false">E9+E15+E21+E27</f>
        <v>18</v>
      </c>
      <c r="F30" s="38" t="n">
        <f aca="false">F9+F15+F21+F27</f>
        <v>18</v>
      </c>
      <c r="G30" s="38" t="n">
        <f aca="false">G9+G15+G21+G27</f>
        <v>229</v>
      </c>
      <c r="H30" s="38" t="n">
        <f aca="false">H9+H15+H21+H27</f>
        <v>846</v>
      </c>
      <c r="I30" s="38" t="n">
        <f aca="false">I9+I15+I21+I27</f>
        <v>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39" t="s">
        <v>109</v>
      </c>
    </row>
    <row r="3" customFormat="false" ht="15" hidden="false" customHeight="true" outlineLevel="0" collapsed="false">
      <c r="A3" s="4"/>
      <c r="B3" s="4" t="s">
        <v>6</v>
      </c>
      <c r="C3" s="4" t="s">
        <v>7</v>
      </c>
      <c r="D3" s="4" t="s">
        <v>8</v>
      </c>
      <c r="E3" s="4" t="s">
        <v>9</v>
      </c>
    </row>
    <row r="5" customFormat="false" ht="15" hidden="false" customHeight="true" outlineLevel="0" collapsed="false">
      <c r="A5" s="9" t="s">
        <v>110</v>
      </c>
      <c r="B5" s="10"/>
      <c r="C5" s="10"/>
      <c r="D5" s="10"/>
      <c r="E5" s="10"/>
    </row>
    <row r="6" customFormat="false" ht="15" hidden="false" customHeight="true" outlineLevel="0" collapsed="false">
      <c r="A6" s="7" t="s">
        <v>111</v>
      </c>
      <c r="B6" s="21" t="n">
        <v>20</v>
      </c>
      <c r="C6" s="21" t="n">
        <v>100</v>
      </c>
      <c r="D6" s="21" t="n">
        <v>200</v>
      </c>
      <c r="E6" s="21" t="n">
        <v>350</v>
      </c>
    </row>
    <row r="7" customFormat="false" ht="15" hidden="false" customHeight="true" outlineLevel="0" collapsed="false">
      <c r="A7" s="7" t="s">
        <v>112</v>
      </c>
      <c r="B7" s="21" t="n">
        <v>10</v>
      </c>
      <c r="C7" s="21" t="n">
        <v>40</v>
      </c>
      <c r="D7" s="21" t="n">
        <v>100</v>
      </c>
      <c r="E7" s="21" t="n">
        <v>200</v>
      </c>
    </row>
    <row r="8" customFormat="false" ht="15" hidden="false" customHeight="true" outlineLevel="0" collapsed="false">
      <c r="A8" s="7" t="s">
        <v>113</v>
      </c>
      <c r="B8" s="21" t="n">
        <v>11</v>
      </c>
      <c r="C8" s="21" t="n">
        <v>25</v>
      </c>
      <c r="D8" s="21" t="n">
        <v>50</v>
      </c>
      <c r="E8" s="21" t="n">
        <v>100</v>
      </c>
    </row>
    <row r="9" customFormat="false" ht="15" hidden="false" customHeight="true" outlineLevel="0" collapsed="false">
      <c r="A9" s="7" t="s">
        <v>114</v>
      </c>
      <c r="B9" s="21" t="n">
        <v>2</v>
      </c>
      <c r="C9" s="21" t="n">
        <v>5</v>
      </c>
      <c r="D9" s="21" t="n">
        <v>10</v>
      </c>
      <c r="E9" s="21" t="n">
        <v>20</v>
      </c>
    </row>
    <row r="10" customFormat="false" ht="15" hidden="false" customHeight="true" outlineLevel="0" collapsed="false">
      <c r="A10" s="36" t="s">
        <v>115</v>
      </c>
      <c r="B10" s="36" t="n">
        <f aca="false">SUM(B6:B9)</f>
        <v>43</v>
      </c>
      <c r="C10" s="36" t="n">
        <f aca="false">SUM(C6:C9)</f>
        <v>170</v>
      </c>
      <c r="D10" s="36" t="n">
        <f aca="false">SUM(D6:D9)</f>
        <v>360</v>
      </c>
      <c r="E10" s="36" t="n">
        <f aca="false">SUM(E6:E9)</f>
        <v>670</v>
      </c>
    </row>
    <row r="12" customFormat="false" ht="15" hidden="false" customHeight="true" outlineLevel="0" collapsed="false">
      <c r="A12" s="14" t="s">
        <v>116</v>
      </c>
      <c r="B12" s="15"/>
      <c r="C12" s="15"/>
      <c r="D12" s="15"/>
      <c r="E12" s="15"/>
    </row>
    <row r="13" customFormat="false" ht="15" hidden="false" customHeight="true" outlineLevel="0" collapsed="false">
      <c r="A13" s="7" t="s">
        <v>117</v>
      </c>
      <c r="B13" s="21" t="n">
        <v>0</v>
      </c>
      <c r="C13" s="21" t="n">
        <v>20</v>
      </c>
      <c r="D13" s="21" t="n">
        <v>150</v>
      </c>
      <c r="E13" s="21" t="n">
        <v>350</v>
      </c>
    </row>
    <row r="14" customFormat="false" ht="15" hidden="false" customHeight="true" outlineLevel="0" collapsed="false">
      <c r="A14" s="7" t="s">
        <v>118</v>
      </c>
      <c r="B14" s="21" t="n">
        <v>0</v>
      </c>
      <c r="C14" s="21" t="n">
        <v>15</v>
      </c>
      <c r="D14" s="21" t="n">
        <v>80</v>
      </c>
      <c r="E14" s="21" t="n">
        <v>250</v>
      </c>
    </row>
    <row r="15" customFormat="false" ht="15" hidden="false" customHeight="true" outlineLevel="0" collapsed="false">
      <c r="A15" s="7" t="s">
        <v>119</v>
      </c>
      <c r="B15" s="21" t="n">
        <v>0</v>
      </c>
      <c r="C15" s="21" t="n">
        <v>5</v>
      </c>
      <c r="D15" s="21" t="n">
        <v>25</v>
      </c>
      <c r="E15" s="21" t="n">
        <v>80</v>
      </c>
    </row>
    <row r="16" customFormat="false" ht="15" hidden="false" customHeight="true" outlineLevel="0" collapsed="false">
      <c r="A16" s="7" t="s">
        <v>120</v>
      </c>
      <c r="B16" s="21" t="n">
        <v>0</v>
      </c>
      <c r="C16" s="21" t="n">
        <v>3</v>
      </c>
      <c r="D16" s="21" t="n">
        <v>8</v>
      </c>
      <c r="E16" s="21" t="n">
        <v>25</v>
      </c>
    </row>
    <row r="17" customFormat="false" ht="15" hidden="false" customHeight="true" outlineLevel="0" collapsed="false">
      <c r="A17" s="40" t="s">
        <v>121</v>
      </c>
      <c r="B17" s="40" t="n">
        <f aca="false">SUM(B13:B16)</f>
        <v>0</v>
      </c>
      <c r="C17" s="40" t="n">
        <f aca="false">SUM(C13:C16)</f>
        <v>43</v>
      </c>
      <c r="D17" s="40" t="n">
        <f aca="false">SUM(D13:D16)</f>
        <v>263</v>
      </c>
      <c r="E17" s="40" t="n">
        <f aca="false">SUM(E13:E16)</f>
        <v>705</v>
      </c>
    </row>
    <row r="19" customFormat="false" ht="15" hidden="false" customHeight="true" outlineLevel="0" collapsed="false">
      <c r="A19" s="16" t="s">
        <v>122</v>
      </c>
      <c r="B19" s="17"/>
      <c r="C19" s="17"/>
      <c r="D19" s="17"/>
      <c r="E19" s="17"/>
    </row>
    <row r="20" customFormat="false" ht="15" hidden="false" customHeight="true" outlineLevel="0" collapsed="false">
      <c r="A20" s="7" t="s">
        <v>123</v>
      </c>
      <c r="B20" s="21" t="n">
        <v>0</v>
      </c>
      <c r="C20" s="21" t="n">
        <v>0</v>
      </c>
      <c r="D20" s="21" t="n">
        <v>50</v>
      </c>
      <c r="E20" s="21" t="n">
        <v>100</v>
      </c>
    </row>
    <row r="21" customFormat="false" ht="15" hidden="false" customHeight="true" outlineLevel="0" collapsed="false">
      <c r="A21" s="7" t="s">
        <v>124</v>
      </c>
      <c r="B21" s="21" t="n">
        <v>0</v>
      </c>
      <c r="C21" s="21" t="n">
        <v>0</v>
      </c>
      <c r="D21" s="21" t="n">
        <v>20</v>
      </c>
      <c r="E21" s="21" t="n">
        <v>50</v>
      </c>
    </row>
    <row r="22" customFormat="false" ht="15" hidden="false" customHeight="true" outlineLevel="0" collapsed="false">
      <c r="A22" s="7" t="s">
        <v>125</v>
      </c>
      <c r="B22" s="21" t="n">
        <v>0</v>
      </c>
      <c r="C22" s="21" t="n">
        <v>0</v>
      </c>
      <c r="D22" s="21" t="n">
        <v>5</v>
      </c>
      <c r="E22" s="21" t="n">
        <v>20</v>
      </c>
    </row>
    <row r="23" customFormat="false" ht="15" hidden="false" customHeight="true" outlineLevel="0" collapsed="false">
      <c r="A23" s="7" t="s">
        <v>126</v>
      </c>
      <c r="B23" s="21" t="n">
        <v>0</v>
      </c>
      <c r="C23" s="21" t="n">
        <v>0</v>
      </c>
      <c r="D23" s="21" t="n">
        <v>2</v>
      </c>
      <c r="E23" s="21" t="n">
        <v>5</v>
      </c>
    </row>
    <row r="24" customFormat="false" ht="15" hidden="false" customHeight="true" outlineLevel="0" collapsed="false">
      <c r="A24" s="41" t="s">
        <v>127</v>
      </c>
      <c r="B24" s="41" t="n">
        <f aca="false">SUM(B20:B23)</f>
        <v>0</v>
      </c>
      <c r="C24" s="41" t="n">
        <f aca="false">SUM(C20:C23)</f>
        <v>0</v>
      </c>
      <c r="D24" s="41" t="n">
        <f aca="false">SUM(D20:D23)</f>
        <v>77</v>
      </c>
      <c r="E24" s="41" t="n">
        <f aca="false">SUM(E20:E23)</f>
        <v>175</v>
      </c>
    </row>
    <row r="26" customFormat="false" ht="15" hidden="false" customHeight="true" outlineLevel="0" collapsed="false">
      <c r="A26" s="5" t="s">
        <v>128</v>
      </c>
      <c r="B26" s="6"/>
      <c r="C26" s="6"/>
      <c r="D26" s="6"/>
      <c r="E26" s="6"/>
    </row>
    <row r="27" customFormat="false" ht="15" hidden="false" customHeight="true" outlineLevel="0" collapsed="false">
      <c r="A27" s="42" t="s">
        <v>129</v>
      </c>
      <c r="B27" s="38" t="n">
        <f aca="false">B10+B17+B24</f>
        <v>43</v>
      </c>
      <c r="C27" s="38" t="n">
        <f aca="false">C10+C17+C24</f>
        <v>213</v>
      </c>
      <c r="D27" s="38" t="n">
        <f aca="false">D10+D17+D24</f>
        <v>700</v>
      </c>
      <c r="E27" s="38" t="n">
        <f aca="false">E10+E17+E24</f>
        <v>1550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43" t="s">
        <v>130</v>
      </c>
    </row>
    <row r="3" customFormat="false" ht="26.25" hidden="false" customHeight="true" outlineLevel="0" collapsed="false">
      <c r="A3" s="4" t="s">
        <v>131</v>
      </c>
      <c r="B3" s="4" t="s">
        <v>132</v>
      </c>
      <c r="C3" s="4" t="s">
        <v>133</v>
      </c>
      <c r="D3" s="4" t="s">
        <v>134</v>
      </c>
    </row>
    <row r="5" customFormat="false" ht="15" hidden="false" customHeight="true" outlineLevel="0" collapsed="false">
      <c r="A5" s="7" t="s">
        <v>135</v>
      </c>
      <c r="B5" s="44" t="s">
        <v>136</v>
      </c>
      <c r="C5" s="44" t="s">
        <v>137</v>
      </c>
      <c r="D5" s="44" t="s">
        <v>138</v>
      </c>
    </row>
    <row r="6" customFormat="false" ht="15" hidden="false" customHeight="true" outlineLevel="0" collapsed="false">
      <c r="A6" s="7" t="s">
        <v>30</v>
      </c>
      <c r="B6" s="44" t="s">
        <v>139</v>
      </c>
      <c r="C6" s="44" t="s">
        <v>140</v>
      </c>
      <c r="D6" s="44" t="s">
        <v>137</v>
      </c>
    </row>
    <row r="7" customFormat="false" ht="15" hidden="false" customHeight="true" outlineLevel="0" collapsed="false">
      <c r="A7" s="7" t="s">
        <v>31</v>
      </c>
      <c r="B7" s="44" t="s">
        <v>141</v>
      </c>
      <c r="C7" s="44" t="s">
        <v>140</v>
      </c>
      <c r="D7" s="44" t="s">
        <v>142</v>
      </c>
    </row>
    <row r="8" customFormat="false" ht="15" hidden="false" customHeight="true" outlineLevel="0" collapsed="false">
      <c r="A8" s="7" t="s">
        <v>143</v>
      </c>
      <c r="B8" s="44" t="s">
        <v>141</v>
      </c>
      <c r="C8" s="44" t="s">
        <v>144</v>
      </c>
      <c r="D8" s="44" t="s">
        <v>145</v>
      </c>
    </row>
    <row r="9" customFormat="false" ht="15" hidden="false" customHeight="true" outlineLevel="0" collapsed="false">
      <c r="A9" s="7" t="s">
        <v>33</v>
      </c>
      <c r="B9" s="44" t="s">
        <v>141</v>
      </c>
      <c r="C9" s="44" t="s">
        <v>146</v>
      </c>
      <c r="D9" s="44" t="s">
        <v>147</v>
      </c>
    </row>
    <row r="10" customFormat="false" ht="15" hidden="false" customHeight="true" outlineLevel="0" collapsed="false">
      <c r="A10" s="7" t="s">
        <v>34</v>
      </c>
      <c r="B10" s="44" t="s">
        <v>141</v>
      </c>
      <c r="C10" s="44" t="s">
        <v>146</v>
      </c>
      <c r="D10" s="44" t="s">
        <v>148</v>
      </c>
    </row>
    <row r="11" customFormat="false" ht="15" hidden="false" customHeight="true" outlineLevel="0" collapsed="false">
      <c r="A11" s="7" t="s">
        <v>149</v>
      </c>
      <c r="B11" s="44" t="s">
        <v>141</v>
      </c>
      <c r="C11" s="44" t="s">
        <v>150</v>
      </c>
      <c r="D11" s="44" t="s">
        <v>144</v>
      </c>
    </row>
    <row r="12" customFormat="false" ht="15" hidden="false" customHeight="true" outlineLevel="0" collapsed="false">
      <c r="A12" s="7" t="s">
        <v>151</v>
      </c>
      <c r="B12" s="44" t="s">
        <v>141</v>
      </c>
      <c r="C12" s="44" t="s">
        <v>147</v>
      </c>
      <c r="D12" s="44" t="s">
        <v>144</v>
      </c>
    </row>
    <row r="13" customFormat="false" ht="15" hidden="false" customHeight="true" outlineLevel="0" collapsed="false">
      <c r="A13" s="7" t="s">
        <v>152</v>
      </c>
      <c r="B13" s="44" t="s">
        <v>141</v>
      </c>
      <c r="C13" s="44" t="s">
        <v>153</v>
      </c>
      <c r="D13" s="44" t="s">
        <v>153</v>
      </c>
    </row>
    <row r="14" customFormat="false" ht="15" hidden="false" customHeight="true" outlineLevel="0" collapsed="false">
      <c r="A14" s="45"/>
      <c r="B14" s="44"/>
      <c r="C14" s="44"/>
      <c r="D14" s="44"/>
    </row>
    <row r="15" customFormat="false" ht="15" hidden="false" customHeight="true" outlineLevel="0" collapsed="false">
      <c r="A15" s="7" t="s">
        <v>154</v>
      </c>
      <c r="B15" s="44"/>
      <c r="C15" s="44"/>
      <c r="D15" s="44"/>
    </row>
    <row r="16" customFormat="false" ht="15" hidden="false" customHeight="true" outlineLevel="0" collapsed="false">
      <c r="A16" s="7" t="s">
        <v>155</v>
      </c>
      <c r="B16" s="44" t="s">
        <v>156</v>
      </c>
      <c r="C16" s="44" t="s">
        <v>157</v>
      </c>
      <c r="D16" s="44" t="s">
        <v>158</v>
      </c>
    </row>
    <row r="17" customFormat="false" ht="15" hidden="false" customHeight="true" outlineLevel="0" collapsed="false">
      <c r="A17" s="7" t="s">
        <v>159</v>
      </c>
      <c r="B17" s="44" t="s">
        <v>156</v>
      </c>
      <c r="C17" s="44" t="s">
        <v>160</v>
      </c>
      <c r="D17" s="44" t="s">
        <v>160</v>
      </c>
    </row>
    <row r="18" customFormat="false" ht="15" hidden="false" customHeight="true" outlineLevel="0" collapsed="false">
      <c r="A18" s="7" t="s">
        <v>161</v>
      </c>
      <c r="B18" s="44" t="s">
        <v>156</v>
      </c>
      <c r="C18" s="44" t="s">
        <v>160</v>
      </c>
      <c r="D18" s="44" t="s">
        <v>160</v>
      </c>
    </row>
    <row r="19" customFormat="false" ht="15" hidden="false" customHeight="true" outlineLevel="0" collapsed="false">
      <c r="A19" s="7" t="s">
        <v>162</v>
      </c>
      <c r="B19" s="44" t="s">
        <v>156</v>
      </c>
      <c r="C19" s="44" t="s">
        <v>160</v>
      </c>
      <c r="D19" s="44" t="s">
        <v>160</v>
      </c>
    </row>
    <row r="20" customFormat="false" ht="15" hidden="false" customHeight="true" outlineLevel="0" collapsed="false">
      <c r="A20" s="7" t="s">
        <v>163</v>
      </c>
      <c r="B20" s="44" t="s">
        <v>156</v>
      </c>
      <c r="C20" s="44" t="s">
        <v>160</v>
      </c>
      <c r="D20" s="4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2026-03-18T08:49:57Z</dcterms:created>
  <dc:creator>openpyxl</dc:creator>
  <dc:description/>
  <dc:language>en-US</dc:language>
  <cp:lastModifiedBy/>
  <dcterms:modified xsi:type="dcterms:W3CDTF">2026-03-19T01:47:14Z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