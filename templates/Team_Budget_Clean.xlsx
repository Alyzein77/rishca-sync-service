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 Roster" sheetId="1" state="visible" r:id="rId3"/>
    <sheet name="Time Log" sheetId="2" state="visible" r:id="rId4"/>
    <sheet name="Monthly Summary" sheetId="3" state="visible" r:id="rId5"/>
    <sheet name="Salary Tracker" sheetId="4" state="visible" r:id="rId6"/>
    <sheet name="Employment Ru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<sst xmlns="http://schemas.openxmlformats.org/spreadsheetml/2006/main" count="439" uniqueCount="91">
  <si>
    <t xml:space="preserve">Name</t>
  </si>
  <si>
    <t xml:space="preserve">Role</t>
  </si>
  <si>
    <t xml:space="preserve">Employment Type</t>
  </si>
  <si>
    <t xml:space="preserve">Hourly Rate (EGP)</t>
  </si>
  <si>
    <t xml:space="preserve">Monthly Salary (EGP)</t>
  </si>
  <si>
    <t xml:space="preserve">Start Date</t>
  </si>
  <si>
    <t xml:space="preserve">End Date</t>
  </si>
  <si>
    <t xml:space="preserve">Status</t>
  </si>
  <si>
    <t xml:space="preserve">Rana El Sobky</t>
  </si>
  <si>
    <t xml:space="preserve">Developer</t>
  </si>
  <si>
    <t xml:space="preserve">Hourly</t>
  </si>
  <si>
    <t xml:space="preserve">2025-01-01</t>
  </si>
  <si>
    <t xml:space="preserve">2025-08-31</t>
  </si>
  <si>
    <t xml:space="preserve">Inactive</t>
  </si>
  <si>
    <t xml:space="preserve">Abaza</t>
  </si>
  <si>
    <t xml:space="preserve">2025-06-30</t>
  </si>
  <si>
    <t xml:space="preserve">Alaa Ashraf</t>
  </si>
  <si>
    <t xml:space="preserve">Active</t>
  </si>
  <si>
    <t xml:space="preserve">Nada Amin</t>
  </si>
  <si>
    <t xml:space="preserve">Ahmed Hamdy</t>
  </si>
  <si>
    <t xml:space="preserve">Mostly Inactive</t>
  </si>
  <si>
    <t xml:space="preserve">Yasseen Nouh</t>
  </si>
  <si>
    <t xml:space="preserve">Amr Tarek</t>
  </si>
  <si>
    <t xml:space="preserve">Tarek Mohamed</t>
  </si>
  <si>
    <t xml:space="preserve">Amal Hamdy</t>
  </si>
  <si>
    <t xml:space="preserve">Fulltime</t>
  </si>
  <si>
    <t xml:space="preserve">Anas Emad</t>
  </si>
  <si>
    <t xml:space="preserve">Part-time + Hourly</t>
  </si>
  <si>
    <t xml:space="preserve">2025-12-01</t>
  </si>
  <si>
    <t xml:space="preserve">Bahaa Mohamed</t>
  </si>
  <si>
    <t xml:space="preserve">2026-02-15</t>
  </si>
  <si>
    <t xml:space="preserve">#</t>
  </si>
  <si>
    <t xml:space="preserve">Year</t>
  </si>
  <si>
    <t xml:space="preserve">Month</t>
  </si>
  <si>
    <t xml:space="preserve">Hours</t>
  </si>
  <si>
    <t xml:space="preserve">Amount (EGP)</t>
  </si>
  <si>
    <t xml:space="preserve">Payment Status</t>
  </si>
  <si>
    <t xml:space="preserve">March</t>
  </si>
  <si>
    <t xml:space="preserve">Transferred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</si>
  <si>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</si>
  <si>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</si>
  <si>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</si>
  <si>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</si>
  <si>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</si>
  <si>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</si>
  <si>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</si>
  <si>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</si>
  <si>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</si>
  <si>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Open</t>
  </si>
  <si>
    <t xml:space="preserve">January</t>
  </si>
  <si>
    <t xml:space="preserve">February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</si>
  <si>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</si>
  <si>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</si>
  <si>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</si>
  <si>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</si>
  <si>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</si>
  <si>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</si>
  <si>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</si>
  <si>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</si>
  <si>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</si>
  <si>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</si>
  <si>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</si>
  <si>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</si>
  <si>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Tools &amp; Infrastructure (EGP)</t>
  </si>
  <si>
    <t xml:space="preserve">Figma</t>
  </si>
  <si>
    <t xml:space="preserve">Lovable</t>
  </si>
  <si>
    <t xml:space="preserve">Google</t>
  </si>
  <si>
    <t xml:space="preserve">Zoho</t>
  </si>
  <si>
    <t xml:space="preserve">Make</t>
  </si>
  <si>
    <t xml:space="preserve">Canva</t>
  </si>
  <si>
    <t xml:space="preserve">ClickUp</t>
  </si>
  <si>
    <t xml:space="preserve">Total Tools</t>
  </si>
  <si>
    <t xml:space="preserve">Total Team Costs</t>
  </si>
  <si>
    <t xml:space="preserve">Total Monthly Spend</t>
  </si>
  <si>
    <t xml:space="preserve">Cumulative Spend</t>
  </si>
  <si>
    <t xml:space="preserve">Base Salary (EGP)</t>
  </si>
  <si>
    <t xml:space="preserve">Definition</t>
  </si>
  <si>
    <t xml:space="preserve">Hours/Week</t>
  </si>
  <si>
    <t xml:space="preserve">Days Off/Year</t>
  </si>
  <si>
    <t xml:space="preserve">Payment Method</t>
  </si>
  <si>
    <t xml:space="preserve">Pay-per-hour based on logged hours</t>
  </si>
  <si>
    <t xml:space="preserve">Variable</t>
  </si>
  <si>
    <t xml:space="preserve">N/A</t>
  </si>
  <si>
    <t xml:space="preserve">Hours × Hourly Rate</t>
  </si>
  <si>
    <t xml:space="preserve">7 hours/day, 5 days/week</t>
  </si>
  <si>
    <t xml:space="preserve">35</t>
  </si>
  <si>
    <t xml:space="preserve">21</t>
  </si>
  <si>
    <t xml:space="preserve">Fixed monthly salary</t>
  </si>
  <si>
    <t xml:space="preserve">Base monthly salary + extra hours at hourly rate</t>
  </si>
  <si>
    <t xml:space="preserve">Per agreement</t>
  </si>
  <si>
    <t xml:space="preserve">Base salary + extra hours ×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</si>
</sst>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FF66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1" width="20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s">
        <v>8</v>
      </c>
      <c r="B2" s="3" t="s">
        <v>9</v>
      </c>
      <c r="C2" s="3" t="s">
        <v>10</v>
      </c>
      <c r="D2" s="4" t="n">
        <v>250</v>
      </c>
      <c r="E2" s="4"/>
      <c r="F2" s="3" t="s">
        <v>11</v>
      </c>
      <c r="G2" s="3" t="s">
        <v>12</v>
      </c>
      <c r="H2" s="3" t="s">
        <v>13</v>
      </c>
    </row>
    <row r="3" customFormat="false" ht="15" hidden="false" customHeight="true" outlineLevel="0" collapsed="false">
      <c r="A3" s="5" t="s">
        <v>14</v>
      </c>
      <c r="B3" s="5" t="s">
        <v>9</v>
      </c>
      <c r="C3" s="5" t="s">
        <v>10</v>
      </c>
      <c r="D3" s="6" t="n">
        <v>400</v>
      </c>
      <c r="E3" s="6"/>
      <c r="F3" s="5" t="s">
        <v>11</v>
      </c>
      <c r="G3" s="5" t="s">
        <v>15</v>
      </c>
      <c r="H3" s="5" t="s">
        <v>13</v>
      </c>
    </row>
    <row r="4" customFormat="false" ht="15" hidden="false" customHeight="true" outlineLevel="0" collapsed="false">
      <c r="A4" s="3" t="s">
        <v>16</v>
      </c>
      <c r="B4" s="3" t="s">
        <v>9</v>
      </c>
      <c r="C4" s="3" t="s">
        <v>10</v>
      </c>
      <c r="D4" s="4" t="n">
        <v>100</v>
      </c>
      <c r="E4" s="4"/>
      <c r="F4" s="3" t="s">
        <v>11</v>
      </c>
      <c r="G4" s="3"/>
      <c r="H4" s="3" t="s">
        <v>17</v>
      </c>
    </row>
    <row r="5" customFormat="false" ht="15" hidden="false" customHeight="true" outlineLevel="0" collapsed="false">
      <c r="A5" s="5" t="s">
        <v>18</v>
      </c>
      <c r="B5" s="5" t="s">
        <v>9</v>
      </c>
      <c r="C5" s="5" t="s">
        <v>10</v>
      </c>
      <c r="D5" s="6" t="n">
        <v>150</v>
      </c>
      <c r="E5" s="6"/>
      <c r="F5" s="5" t="s">
        <v>11</v>
      </c>
      <c r="G5" s="5"/>
      <c r="H5" s="5" t="s">
        <v>17</v>
      </c>
    </row>
    <row r="6" customFormat="false" ht="15" hidden="false" customHeight="true" outlineLevel="0" collapsed="false">
      <c r="A6" s="3" t="s">
        <v>19</v>
      </c>
      <c r="B6" s="3" t="s">
        <v>9</v>
      </c>
      <c r="C6" s="3" t="s">
        <v>10</v>
      </c>
      <c r="D6" s="4" t="n">
        <v>500</v>
      </c>
      <c r="E6" s="4"/>
      <c r="F6" s="3" t="s">
        <v>11</v>
      </c>
      <c r="G6" s="3"/>
      <c r="H6" s="3" t="s">
        <v>20</v>
      </c>
    </row>
    <row r="7" customFormat="false" ht="15" hidden="false" customHeight="true" outlineLevel="0" collapsed="false">
      <c r="A7" s="5" t="s">
        <v>21</v>
      </c>
      <c r="B7" s="5" t="s">
        <v>9</v>
      </c>
      <c r="C7" s="5" t="s">
        <v>10</v>
      </c>
      <c r="D7" s="6" t="n">
        <v>900</v>
      </c>
      <c r="E7" s="6"/>
      <c r="F7" s="5" t="s">
        <v>11</v>
      </c>
      <c r="G7" s="5"/>
      <c r="H7" s="5" t="s">
        <v>17</v>
      </c>
    </row>
    <row r="8" customFormat="false" ht="15" hidden="false" customHeight="true" outlineLevel="0" collapsed="false">
      <c r="A8" s="3" t="s">
        <v>22</v>
      </c>
      <c r="B8" s="3" t="s">
        <v>9</v>
      </c>
      <c r="C8" s="3" t="s">
        <v>10</v>
      </c>
      <c r="D8" s="4" t="n">
        <v>350</v>
      </c>
      <c r="E8" s="4"/>
      <c r="F8" s="3" t="s">
        <v>11</v>
      </c>
      <c r="G8" s="3"/>
      <c r="H8" s="3" t="s">
        <v>17</v>
      </c>
    </row>
    <row r="9" customFormat="false" ht="15" hidden="false" customHeight="true" outlineLevel="0" collapsed="false">
      <c r="A9" s="5" t="s">
        <v>23</v>
      </c>
      <c r="B9" s="5" t="s">
        <v>9</v>
      </c>
      <c r="C9" s="5" t="s">
        <v>10</v>
      </c>
      <c r="D9" s="6" t="n">
        <v>150</v>
      </c>
      <c r="E9" s="6"/>
      <c r="F9" s="5" t="s">
        <v>11</v>
      </c>
      <c r="G9" s="5"/>
      <c r="H9" s="5" t="s">
        <v>17</v>
      </c>
    </row>
    <row r="10" customFormat="false" ht="15" hidden="false" customHeight="true" outlineLevel="0" collapsed="false">
      <c r="A10" s="3" t="s">
        <v>24</v>
      </c>
      <c r="B10" s="3" t="s">
        <v>9</v>
      </c>
      <c r="C10" s="3" t="s">
        <v>25</v>
      </c>
      <c r="D10" s="4"/>
      <c r="E10" s="4" t="n">
        <v>6000</v>
      </c>
      <c r="F10" s="3" t="s">
        <v>11</v>
      </c>
      <c r="G10" s="3"/>
      <c r="H10" s="3" t="s">
        <v>17</v>
      </c>
    </row>
    <row r="11" customFormat="false" ht="15" hidden="false" customHeight="true" outlineLevel="0" collapsed="false">
      <c r="A11" s="5" t="s">
        <v>26</v>
      </c>
      <c r="B11" s="5" t="s">
        <v>9</v>
      </c>
      <c r="C11" s="5" t="s">
        <v>27</v>
      </c>
      <c r="D11" s="6" t="n">
        <v>170.07</v>
      </c>
      <c r="E11" s="6" t="n">
        <v>12000</v>
      </c>
      <c r="F11" s="5" t="s">
        <v>28</v>
      </c>
      <c r="G11" s="5"/>
      <c r="H11" s="5" t="s">
        <v>17</v>
      </c>
    </row>
    <row r="12" customFormat="false" ht="15" hidden="false" customHeight="true" outlineLevel="0" collapsed="false">
      <c r="A12" s="3" t="s">
        <v>29</v>
      </c>
      <c r="B12" s="3" t="s">
        <v>9</v>
      </c>
      <c r="C12" s="3" t="s">
        <v>27</v>
      </c>
      <c r="D12" s="4"/>
      <c r="E12" s="4" t="n">
        <v>30000</v>
      </c>
      <c r="F12" s="3" t="s">
        <v>30</v>
      </c>
      <c r="G12" s="3"/>
      <c r="H12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5" min="4" style="1" width="18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9" min="8" style="1" width="14"/>
  </cols>
  <sheetData>
    <row r="1" customFormat="false" ht="26.25" hidden="false" customHeight="true" outlineLevel="0" collapsed="false">
      <c r="A1" s="2" t="s">
        <v>31</v>
      </c>
      <c r="B1" s="2" t="s">
        <v>32</v>
      </c>
      <c r="C1" s="2" t="s">
        <v>33</v>
      </c>
      <c r="D1" s="2" t="s">
        <v>0</v>
      </c>
      <c r="E1" s="2" t="s">
        <v>2</v>
      </c>
      <c r="F1" s="2" t="s">
        <v>3</v>
      </c>
      <c r="G1" s="2" t="s">
        <v>34</v>
      </c>
      <c r="H1" s="2" t="s">
        <v>35</v>
      </c>
      <c r="I1" s="2" t="s">
        <v>36</v>
      </c>
    </row>
    <row r="2" customFormat="false" ht="15" hidden="false" customHeight="true" outlineLevel="0" collapsed="false">
      <c r="A2" s="7" t="n">
        <v>1</v>
      </c>
      <c r="B2" s="7" t="n">
        <v>2025</v>
      </c>
      <c r="C2" s="7" t="s">
        <v>37</v>
      </c>
      <c r="D2" s="3" t="s">
        <v>8</v>
      </c>
      <c r="E2" s="3" t="s">
        <v>10</v>
      </c>
      <c r="F2" s="7" t="n">
        <v>150</v>
      </c>
      <c r="G2" s="7" t="n">
        <v>18.25</v>
      </c>
      <c r="H2" s="7" t="n">
        <f aca="false">F2*G2</f>
        <v>2737.5</v>
      </c>
      <c r="I2" s="7" t="s">
        <v>38</v>
      </c>
    </row>
    <row r="3" customFormat="false" ht="15" hidden="false" customHeight="true" outlineLevel="0" collapsed="false">
      <c r="A3" s="8" t="n">
        <v>2</v>
      </c>
      <c r="B3" s="8" t="n">
        <v>2025</v>
      </c>
      <c r="C3" s="8" t="s">
        <v>37</v>
      </c>
      <c r="D3" s="5" t="s">
        <v>14</v>
      </c>
      <c r="E3" s="5" t="s">
        <v>10</v>
      </c>
      <c r="F3" s="8" t="n">
        <v>250</v>
      </c>
      <c r="G3" s="8" t="n">
        <v>4.5</v>
      </c>
      <c r="H3" s="8" t="n">
        <f aca="false">F3*G3</f>
        <v>1125</v>
      </c>
      <c r="I3" s="8" t="s">
        <v>38</v>
      </c>
    </row>
    <row r="4" customFormat="false" ht="15" hidden="false" customHeight="true" outlineLevel="0" collapsed="false">
      <c r="A4" s="7" t="n">
        <v>3</v>
      </c>
      <c r="B4" s="7" t="n">
        <v>2025</v>
      </c>
      <c r="C4" s="7" t="s">
        <v>37</v>
      </c>
      <c r="D4" s="3" t="s">
        <v>16</v>
      </c>
      <c r="E4" s="3" t="s">
        <v>10</v>
      </c>
      <c r="F4" s="7" t="n">
        <v>100</v>
      </c>
      <c r="G4" s="7" t="n">
        <v>0</v>
      </c>
      <c r="H4" s="7" t="n">
        <f aca="false">F4*G4</f>
        <v>0</v>
      </c>
      <c r="I4" s="7" t="s">
        <v>38</v>
      </c>
    </row>
    <row r="5" customFormat="false" ht="15" hidden="false" customHeight="true" outlineLevel="0" collapsed="false">
      <c r="A5" s="8" t="n">
        <v>4</v>
      </c>
      <c r="B5" s="8" t="n">
        <v>2025</v>
      </c>
      <c r="C5" s="8" t="s">
        <v>39</v>
      </c>
      <c r="D5" s="5" t="s">
        <v>8</v>
      </c>
      <c r="E5" s="5" t="s">
        <v>10</v>
      </c>
      <c r="F5" s="8" t="n">
        <v>250</v>
      </c>
      <c r="G5" s="8" t="n">
        <v>6</v>
      </c>
      <c r="H5" s="8" t="n">
        <f aca="false">F5*G5</f>
        <v>1500</v>
      </c>
      <c r="I5" s="8" t="s">
        <v>38</v>
      </c>
    </row>
    <row r="6" customFormat="false" ht="15" hidden="false" customHeight="true" outlineLevel="0" collapsed="false">
      <c r="A6" s="7" t="n">
        <v>5</v>
      </c>
      <c r="B6" s="7" t="n">
        <v>2025</v>
      </c>
      <c r="C6" s="7" t="s">
        <v>39</v>
      </c>
      <c r="D6" s="3" t="s">
        <v>14</v>
      </c>
      <c r="E6" s="3" t="s">
        <v>10</v>
      </c>
      <c r="F6" s="7" t="n">
        <v>400</v>
      </c>
      <c r="G6" s="7" t="n">
        <v>3.5</v>
      </c>
      <c r="H6" s="7" t="n">
        <f aca="false">F6*G6</f>
        <v>1400</v>
      </c>
      <c r="I6" s="7" t="s">
        <v>38</v>
      </c>
    </row>
    <row r="7" customFormat="false" ht="15" hidden="false" customHeight="true" outlineLevel="0" collapsed="false">
      <c r="A7" s="8" t="n">
        <v>6</v>
      </c>
      <c r="B7" s="8" t="n">
        <v>2025</v>
      </c>
      <c r="C7" s="8" t="s">
        <v>39</v>
      </c>
      <c r="D7" s="5" t="s">
        <v>16</v>
      </c>
      <c r="E7" s="5" t="s">
        <v>10</v>
      </c>
      <c r="F7" s="8" t="n">
        <v>100</v>
      </c>
      <c r="G7" s="8" t="n">
        <v>7.25</v>
      </c>
      <c r="H7" s="8" t="n">
        <f aca="false">F7*G7</f>
        <v>725</v>
      </c>
      <c r="I7" s="8" t="s">
        <v>38</v>
      </c>
    </row>
    <row r="8" customFormat="false" ht="15" hidden="false" customHeight="true" outlineLevel="0" collapsed="false">
      <c r="A8" s="7" t="n">
        <v>7</v>
      </c>
      <c r="B8" s="7" t="n">
        <v>2025</v>
      </c>
      <c r="C8" s="7" t="s">
        <v>39</v>
      </c>
      <c r="D8" s="3" t="s">
        <v>18</v>
      </c>
      <c r="E8" s="3" t="s">
        <v>10</v>
      </c>
      <c r="F8" s="7" t="n">
        <v>150</v>
      </c>
      <c r="G8" s="7" t="n">
        <v>17</v>
      </c>
      <c r="H8" s="7" t="n">
        <f aca="false">F8*G8</f>
        <v>2550</v>
      </c>
      <c r="I8" s="7" t="s">
        <v>38</v>
      </c>
    </row>
    <row r="9" customFormat="false" ht="15" hidden="false" customHeight="true" outlineLevel="0" collapsed="false">
      <c r="A9" s="8" t="n">
        <v>8</v>
      </c>
      <c r="B9" s="8" t="n">
        <v>2025</v>
      </c>
      <c r="C9" s="8" t="s">
        <v>39</v>
      </c>
      <c r="D9" s="5" t="s">
        <v>19</v>
      </c>
      <c r="E9" s="5" t="s">
        <v>10</v>
      </c>
      <c r="F9" s="8" t="n">
        <v>500</v>
      </c>
      <c r="G9" s="8" t="n">
        <v>9</v>
      </c>
      <c r="H9" s="8" t="n">
        <f aca="false">F9*G9</f>
        <v>4500</v>
      </c>
      <c r="I9" s="8" t="s">
        <v>38</v>
      </c>
    </row>
    <row r="10" customFormat="false" ht="15" hidden="false" customHeight="true" outlineLevel="0" collapsed="false">
      <c r="A10" s="7" t="n">
        <v>9</v>
      </c>
      <c r="B10" s="7" t="n">
        <v>2025</v>
      </c>
      <c r="C10" s="7" t="s">
        <v>40</v>
      </c>
      <c r="D10" s="3" t="s">
        <v>8</v>
      </c>
      <c r="E10" s="3" t="s">
        <v>10</v>
      </c>
      <c r="F10" s="7" t="n">
        <v>250</v>
      </c>
      <c r="G10" s="7" t="n">
        <v>18</v>
      </c>
      <c r="H10" s="7" t="n">
        <f aca="false">F10*G10</f>
        <v>4500</v>
      </c>
      <c r="I10" s="7" t="s">
        <v>38</v>
      </c>
    </row>
    <row r="11" customFormat="false" ht="15" hidden="false" customHeight="true" outlineLevel="0" collapsed="false">
      <c r="A11" s="8" t="n">
        <v>10</v>
      </c>
      <c r="B11" s="8" t="n">
        <v>2025</v>
      </c>
      <c r="C11" s="8" t="s">
        <v>40</v>
      </c>
      <c r="D11" s="5" t="s">
        <v>14</v>
      </c>
      <c r="E11" s="5" t="s">
        <v>10</v>
      </c>
      <c r="F11" s="8" t="n">
        <v>400</v>
      </c>
      <c r="G11" s="8" t="n">
        <v>4</v>
      </c>
      <c r="H11" s="8" t="n">
        <f aca="false">F11*G11</f>
        <v>1600</v>
      </c>
      <c r="I11" s="8" t="s">
        <v>38</v>
      </c>
    </row>
    <row r="12" customFormat="false" ht="15" hidden="false" customHeight="true" outlineLevel="0" collapsed="false">
      <c r="A12" s="7" t="n">
        <v>11</v>
      </c>
      <c r="B12" s="7" t="n">
        <v>2025</v>
      </c>
      <c r="C12" s="7" t="s">
        <v>40</v>
      </c>
      <c r="D12" s="3" t="s">
        <v>16</v>
      </c>
      <c r="E12" s="3" t="s">
        <v>10</v>
      </c>
      <c r="F12" s="7" t="n">
        <v>100</v>
      </c>
      <c r="G12" s="7" t="n">
        <v>1.15</v>
      </c>
      <c r="H12" s="7" t="n">
        <f aca="false">F12*G12</f>
        <v>115</v>
      </c>
      <c r="I12" s="7" t="s">
        <v>38</v>
      </c>
    </row>
    <row r="13" customFormat="false" ht="15" hidden="false" customHeight="true" outlineLevel="0" collapsed="false">
      <c r="A13" s="8" t="n">
        <v>12</v>
      </c>
      <c r="B13" s="8" t="n">
        <v>2025</v>
      </c>
      <c r="C13" s="8" t="s">
        <v>40</v>
      </c>
      <c r="D13" s="5" t="s">
        <v>18</v>
      </c>
      <c r="E13" s="5" t="s">
        <v>10</v>
      </c>
      <c r="F13" s="8" t="n">
        <v>150</v>
      </c>
      <c r="G13" s="8" t="n">
        <v>41.78</v>
      </c>
      <c r="H13" s="8" t="n">
        <f aca="false">F13*G13</f>
        <v>6267</v>
      </c>
      <c r="I13" s="8" t="s">
        <v>38</v>
      </c>
    </row>
    <row r="14" customFormat="false" ht="15" hidden="false" customHeight="true" outlineLevel="0" collapsed="false">
      <c r="A14" s="7" t="n">
        <v>13</v>
      </c>
      <c r="B14" s="7" t="n">
        <v>2025</v>
      </c>
      <c r="C14" s="7" t="s">
        <v>40</v>
      </c>
      <c r="D14" s="3" t="s">
        <v>19</v>
      </c>
      <c r="E14" s="3" t="s">
        <v>10</v>
      </c>
      <c r="F14" s="7" t="n">
        <v>500</v>
      </c>
      <c r="G14" s="7" t="n">
        <v>0</v>
      </c>
      <c r="H14" s="7" t="n">
        <f aca="false">F14*G14</f>
        <v>0</v>
      </c>
      <c r="I14" s="7" t="s">
        <v>38</v>
      </c>
    </row>
    <row r="15" customFormat="false" ht="15" hidden="false" customHeight="true" outlineLevel="0" collapsed="false">
      <c r="A15" s="8" t="n">
        <v>14</v>
      </c>
      <c r="B15" s="8" t="n">
        <v>2025</v>
      </c>
      <c r="C15" s="8" t="s">
        <v>40</v>
      </c>
      <c r="D15" s="5" t="s">
        <v>21</v>
      </c>
      <c r="E15" s="5" t="s">
        <v>10</v>
      </c>
      <c r="F15" s="8" t="n">
        <v>350</v>
      </c>
      <c r="G15" s="8" t="n">
        <v>8</v>
      </c>
      <c r="H15" s="8" t="n">
        <f aca="false">F15*G15</f>
        <v>2800</v>
      </c>
      <c r="I15" s="8" t="s">
        <v>38</v>
      </c>
    </row>
    <row r="16" customFormat="false" ht="15" hidden="false" customHeight="true" outlineLevel="0" collapsed="false">
      <c r="A16" s="7" t="n">
        <v>15</v>
      </c>
      <c r="B16" s="7" t="n">
        <v>2025</v>
      </c>
      <c r="C16" s="7" t="s">
        <v>41</v>
      </c>
      <c r="D16" s="3" t="s">
        <v>14</v>
      </c>
      <c r="E16" s="3" t="s">
        <v>10</v>
      </c>
      <c r="F16" s="7" t="n">
        <v>400</v>
      </c>
      <c r="G16" s="7" t="n">
        <v>3.24</v>
      </c>
      <c r="H16" s="7" t="n">
        <f aca="false">F16*G16</f>
        <v>1296</v>
      </c>
      <c r="I16" s="7" t="s">
        <v>38</v>
      </c>
    </row>
    <row r="17" customFormat="false" ht="15" hidden="false" customHeight="true" outlineLevel="0" collapsed="false">
      <c r="A17" s="8" t="n">
        <v>16</v>
      </c>
      <c r="B17" s="8" t="n">
        <v>2025</v>
      </c>
      <c r="C17" s="8" t="s">
        <v>42</v>
      </c>
      <c r="D17" s="5" t="s">
        <v>19</v>
      </c>
      <c r="E17" s="5" t="s">
        <v>10</v>
      </c>
      <c r="F17" s="8" t="n">
        <v>500</v>
      </c>
      <c r="G17" s="8" t="n">
        <v>0</v>
      </c>
      <c r="H17" s="8" t="n">
        <f aca="false">F17*G17</f>
        <v>0</v>
      </c>
      <c r="I17" s="8" t="s">
        <v>38</v>
      </c>
    </row>
    <row r="18" customFormat="false" ht="15" hidden="false" customHeight="true" outlineLevel="0" collapsed="false">
      <c r="A18" s="7" t="n">
        <v>17</v>
      </c>
      <c r="B18" s="7" t="n">
        <v>2025</v>
      </c>
      <c r="C18" s="7" t="s">
        <v>43</v>
      </c>
      <c r="D18" s="3" t="s">
        <v>16</v>
      </c>
      <c r="E18" s="3" t="s">
        <v>10</v>
      </c>
      <c r="F18" s="7" t="n">
        <v>100</v>
      </c>
      <c r="G18" s="7" t="n">
        <v>9.59</v>
      </c>
      <c r="H18" s="7" t="n">
        <f aca="false">F18*G18</f>
        <v>959</v>
      </c>
      <c r="I18" s="7" t="s">
        <v>38</v>
      </c>
    </row>
    <row r="19" customFormat="false" ht="15" hidden="false" customHeight="true" outlineLevel="0" collapsed="false">
      <c r="A19" s="8" t="n">
        <v>18</v>
      </c>
      <c r="B19" s="8" t="n">
        <v>2025</v>
      </c>
      <c r="C19" s="8" t="s">
        <v>44</v>
      </c>
      <c r="D19" s="5" t="s">
        <v>18</v>
      </c>
      <c r="E19" s="5" t="s">
        <v>10</v>
      </c>
      <c r="F19" s="8" t="n">
        <v>150</v>
      </c>
      <c r="G19" s="8" t="n">
        <v>78.4</v>
      </c>
      <c r="H19" s="8" t="n">
        <f aca="false">F19*G19</f>
        <v>11760</v>
      </c>
      <c r="I19" s="8" t="s">
        <v>38</v>
      </c>
    </row>
    <row r="20" customFormat="false" ht="15" hidden="false" customHeight="true" outlineLevel="0" collapsed="false">
      <c r="A20" s="7" t="n">
        <v>19</v>
      </c>
      <c r="B20" s="7" t="n">
        <v>2025</v>
      </c>
      <c r="C20" s="7" t="s">
        <v>45</v>
      </c>
      <c r="D20" s="3" t="s">
        <v>8</v>
      </c>
      <c r="E20" s="3" t="s">
        <v>10</v>
      </c>
      <c r="F20" s="7" t="n">
        <v>250</v>
      </c>
      <c r="G20" s="7" t="n">
        <v>28.16</v>
      </c>
      <c r="H20" s="7" t="n">
        <f aca="false">F20*G20</f>
        <v>7040</v>
      </c>
      <c r="I20" s="7" t="s">
        <v>38</v>
      </c>
    </row>
    <row r="21" customFormat="false" ht="15" hidden="false" customHeight="true" outlineLevel="0" collapsed="false">
      <c r="A21" s="8" t="n">
        <v>20</v>
      </c>
      <c r="B21" s="8" t="n">
        <v>2025</v>
      </c>
      <c r="C21" s="8" t="s">
        <v>46</v>
      </c>
      <c r="D21" s="5" t="s">
        <v>21</v>
      </c>
      <c r="E21" s="5" t="s">
        <v>10</v>
      </c>
      <c r="F21" s="8" t="n">
        <v>350</v>
      </c>
      <c r="G21" s="8" t="n">
        <v>16</v>
      </c>
      <c r="H21" s="8" t="n">
        <f aca="false">F21*G21</f>
        <v>5600</v>
      </c>
      <c r="I21" s="8" t="s">
        <v>38</v>
      </c>
    </row>
    <row r="22" customFormat="false" ht="15" hidden="false" customHeight="true" outlineLevel="0" collapsed="false">
      <c r="A22" s="7" t="n">
        <v>21</v>
      </c>
      <c r="B22" s="7" t="n">
        <v>2025</v>
      </c>
      <c r="C22" s="7" t="s">
        <v>42</v>
      </c>
      <c r="D22" s="3" t="s">
        <v>8</v>
      </c>
      <c r="E22" s="3" t="s">
        <v>10</v>
      </c>
      <c r="F22" s="7" t="n">
        <v>250</v>
      </c>
      <c r="G22" s="7" t="n">
        <v>9.17</v>
      </c>
      <c r="H22" s="7" t="n">
        <f aca="false">F22*G22</f>
        <v>2292.5</v>
      </c>
      <c r="I22" s="7" t="s">
        <v>38</v>
      </c>
    </row>
    <row r="23" customFormat="false" ht="15" hidden="false" customHeight="true" outlineLevel="0" collapsed="false">
      <c r="A23" s="8" t="n">
        <v>22</v>
      </c>
      <c r="B23" s="8" t="n">
        <v>2025</v>
      </c>
      <c r="C23" s="8" t="s">
        <v>42</v>
      </c>
      <c r="D23" s="5" t="s">
        <v>14</v>
      </c>
      <c r="E23" s="5" t="s">
        <v>10</v>
      </c>
      <c r="F23" s="8" t="n">
        <v>400</v>
      </c>
      <c r="G23" s="8" t="n">
        <v>0</v>
      </c>
      <c r="H23" s="8" t="n">
        <f aca="false">F23*G23</f>
        <v>0</v>
      </c>
      <c r="I23" s="8" t="s">
        <v>38</v>
      </c>
    </row>
    <row r="24" customFormat="false" ht="15" hidden="false" customHeight="true" outlineLevel="0" collapsed="false">
      <c r="A24" s="7" t="n">
        <v>23</v>
      </c>
      <c r="B24" s="7" t="n">
        <v>2025</v>
      </c>
      <c r="C24" s="7" t="s">
        <v>42</v>
      </c>
      <c r="D24" s="3" t="s">
        <v>16</v>
      </c>
      <c r="E24" s="3" t="s">
        <v>10</v>
      </c>
      <c r="F24" s="7" t="n">
        <v>100</v>
      </c>
      <c r="G24" s="7" t="n">
        <v>10.2</v>
      </c>
      <c r="H24" s="7" t="n">
        <f aca="false">F24*G24</f>
        <v>1020</v>
      </c>
      <c r="I24" s="7" t="s">
        <v>38</v>
      </c>
    </row>
    <row r="25" customFormat="false" ht="15" hidden="false" customHeight="true" outlineLevel="0" collapsed="false">
      <c r="A25" s="8" t="n">
        <v>24</v>
      </c>
      <c r="B25" s="8" t="n">
        <v>2025</v>
      </c>
      <c r="C25" s="8" t="s">
        <v>42</v>
      </c>
      <c r="D25" s="5" t="s">
        <v>18</v>
      </c>
      <c r="E25" s="5" t="s">
        <v>10</v>
      </c>
      <c r="F25" s="8" t="n">
        <v>150</v>
      </c>
      <c r="G25" s="8" t="n">
        <v>13.5</v>
      </c>
      <c r="H25" s="8" t="n">
        <f aca="false">F25*G25</f>
        <v>2025</v>
      </c>
      <c r="I25" s="8" t="s">
        <v>38</v>
      </c>
    </row>
    <row r="26" customFormat="false" ht="15" hidden="false" customHeight="true" outlineLevel="0" collapsed="false">
      <c r="A26" s="7" t="n">
        <v>25</v>
      </c>
      <c r="B26" s="7" t="n">
        <v>2025</v>
      </c>
      <c r="C26" s="7" t="s">
        <v>42</v>
      </c>
      <c r="D26" s="3" t="s">
        <v>19</v>
      </c>
      <c r="E26" s="3" t="s">
        <v>10</v>
      </c>
      <c r="F26" s="7" t="n">
        <v>500</v>
      </c>
      <c r="G26" s="7" t="n">
        <v>0</v>
      </c>
      <c r="H26" s="7" t="n">
        <f aca="false">F26*G26</f>
        <v>0</v>
      </c>
      <c r="I26" s="7" t="s">
        <v>38</v>
      </c>
    </row>
    <row r="27" customFormat="false" ht="15" hidden="false" customHeight="true" outlineLevel="0" collapsed="false">
      <c r="A27" s="8" t="n">
        <v>26</v>
      </c>
      <c r="B27" s="8" t="n">
        <v>2025</v>
      </c>
      <c r="C27" s="8" t="s">
        <v>42</v>
      </c>
      <c r="D27" s="5" t="s">
        <v>21</v>
      </c>
      <c r="E27" s="5" t="s">
        <v>10</v>
      </c>
      <c r="F27" s="8" t="n">
        <v>350</v>
      </c>
      <c r="G27" s="8" t="n">
        <v>9</v>
      </c>
      <c r="H27" s="8" t="n">
        <f aca="false">F27*G27</f>
        <v>3150</v>
      </c>
      <c r="I27" s="8" t="s">
        <v>38</v>
      </c>
    </row>
    <row r="28" customFormat="false" ht="15" hidden="false" customHeight="true" outlineLevel="0" collapsed="false">
      <c r="A28" s="7" t="n">
        <v>27</v>
      </c>
      <c r="B28" s="7" t="n">
        <v>2025</v>
      </c>
      <c r="C28" s="7" t="s">
        <v>42</v>
      </c>
      <c r="D28" s="3" t="s">
        <v>22</v>
      </c>
      <c r="E28" s="3" t="s">
        <v>10</v>
      </c>
      <c r="F28" s="7" t="n">
        <v>350</v>
      </c>
      <c r="G28" s="7" t="n">
        <v>13.2</v>
      </c>
      <c r="H28" s="7" t="n">
        <f aca="false">F28*G28</f>
        <v>4620</v>
      </c>
      <c r="I28" s="7" t="s">
        <v>38</v>
      </c>
    </row>
    <row r="29" customFormat="false" ht="15" hidden="false" customHeight="true" outlineLevel="0" collapsed="false">
      <c r="A29" s="8" t="n">
        <v>28</v>
      </c>
      <c r="B29" s="8" t="n">
        <v>2025</v>
      </c>
      <c r="C29" s="8" t="s">
        <v>43</v>
      </c>
      <c r="D29" s="5" t="s">
        <v>8</v>
      </c>
      <c r="E29" s="5" t="s">
        <v>10</v>
      </c>
      <c r="F29" s="8" t="n">
        <v>250</v>
      </c>
      <c r="G29" s="8" t="n">
        <v>4.75</v>
      </c>
      <c r="H29" s="8" t="n">
        <f aca="false">F29*G29</f>
        <v>1187.5</v>
      </c>
      <c r="I29" s="8" t="s">
        <v>38</v>
      </c>
    </row>
    <row r="30" customFormat="false" ht="15" hidden="false" customHeight="true" outlineLevel="0" collapsed="false">
      <c r="A30" s="7" t="n">
        <v>29</v>
      </c>
      <c r="B30" s="7" t="n">
        <v>2025</v>
      </c>
      <c r="C30" s="7" t="s">
        <v>43</v>
      </c>
      <c r="D30" s="3" t="s">
        <v>16</v>
      </c>
      <c r="E30" s="3" t="s">
        <v>10</v>
      </c>
      <c r="F30" s="7" t="n">
        <v>100</v>
      </c>
      <c r="G30" s="7" t="n">
        <v>0</v>
      </c>
      <c r="H30" s="7" t="n">
        <f aca="false">F30*G30</f>
        <v>0</v>
      </c>
      <c r="I30" s="7" t="s">
        <v>38</v>
      </c>
    </row>
    <row r="31" customFormat="false" ht="15" hidden="false" customHeight="true" outlineLevel="0" collapsed="false">
      <c r="A31" s="8" t="n">
        <v>30</v>
      </c>
      <c r="B31" s="8" t="n">
        <v>2025</v>
      </c>
      <c r="C31" s="8" t="s">
        <v>43</v>
      </c>
      <c r="D31" s="5" t="s">
        <v>18</v>
      </c>
      <c r="E31" s="5" t="s">
        <v>10</v>
      </c>
      <c r="F31" s="8" t="n">
        <v>150</v>
      </c>
      <c r="G31" s="8" t="n">
        <v>2.5</v>
      </c>
      <c r="H31" s="8" t="n">
        <f aca="false">F31*G31</f>
        <v>375</v>
      </c>
      <c r="I31" s="8" t="s">
        <v>38</v>
      </c>
    </row>
    <row r="32" customFormat="false" ht="15" hidden="false" customHeight="true" outlineLevel="0" collapsed="false">
      <c r="A32" s="7" t="n">
        <v>31</v>
      </c>
      <c r="B32" s="7" t="n">
        <v>2025</v>
      </c>
      <c r="C32" s="7" t="s">
        <v>43</v>
      </c>
      <c r="D32" s="3" t="s">
        <v>21</v>
      </c>
      <c r="E32" s="3" t="s">
        <v>10</v>
      </c>
      <c r="F32" s="7" t="n">
        <v>350</v>
      </c>
      <c r="G32" s="7" t="n">
        <v>30</v>
      </c>
      <c r="H32" s="7" t="n">
        <f aca="false">F32*G32</f>
        <v>10500</v>
      </c>
      <c r="I32" s="7" t="s">
        <v>38</v>
      </c>
    </row>
    <row r="33" customFormat="false" ht="15" hidden="false" customHeight="true" outlineLevel="0" collapsed="false">
      <c r="A33" s="8" t="n">
        <v>32</v>
      </c>
      <c r="B33" s="8" t="n">
        <v>2025</v>
      </c>
      <c r="C33" s="8" t="s">
        <v>43</v>
      </c>
      <c r="D33" s="5" t="s">
        <v>22</v>
      </c>
      <c r="E33" s="5" t="s">
        <v>10</v>
      </c>
      <c r="F33" s="8" t="n">
        <v>350</v>
      </c>
      <c r="G33" s="8" t="n">
        <v>56.25</v>
      </c>
      <c r="H33" s="8" t="n">
        <f aca="false">F33*G33</f>
        <v>19687.5</v>
      </c>
      <c r="I33" s="8" t="s">
        <v>38</v>
      </c>
    </row>
    <row r="34" customFormat="false" ht="15" hidden="false" customHeight="true" outlineLevel="0" collapsed="false">
      <c r="A34" s="7" t="n">
        <v>33</v>
      </c>
      <c r="B34" s="7" t="n">
        <v>2025</v>
      </c>
      <c r="C34" s="7" t="s">
        <v>44</v>
      </c>
      <c r="D34" s="3" t="s">
        <v>8</v>
      </c>
      <c r="E34" s="3" t="s">
        <v>10</v>
      </c>
      <c r="F34" s="7" t="n">
        <v>250</v>
      </c>
      <c r="G34" s="7" t="n">
        <v>0</v>
      </c>
      <c r="H34" s="7" t="n">
        <f aca="false">F34*G34</f>
        <v>0</v>
      </c>
      <c r="I34" s="7" t="s">
        <v>38</v>
      </c>
    </row>
    <row r="35" customFormat="false" ht="15" hidden="false" customHeight="true" outlineLevel="0" collapsed="false">
      <c r="A35" s="8" t="n">
        <v>34</v>
      </c>
      <c r="B35" s="8" t="n">
        <v>2025</v>
      </c>
      <c r="C35" s="8" t="s">
        <v>44</v>
      </c>
      <c r="D35" s="5" t="s">
        <v>16</v>
      </c>
      <c r="E35" s="5" t="s">
        <v>10</v>
      </c>
      <c r="F35" s="8" t="n">
        <v>100</v>
      </c>
      <c r="G35" s="8" t="n">
        <v>10.2</v>
      </c>
      <c r="H35" s="8" t="n">
        <f aca="false">F35*G35</f>
        <v>1020</v>
      </c>
      <c r="I35" s="8" t="s">
        <v>38</v>
      </c>
    </row>
    <row r="36" customFormat="false" ht="15" hidden="false" customHeight="true" outlineLevel="0" collapsed="false">
      <c r="A36" s="7" t="n">
        <v>35</v>
      </c>
      <c r="B36" s="7" t="n">
        <v>2025</v>
      </c>
      <c r="C36" s="7" t="s">
        <v>44</v>
      </c>
      <c r="D36" s="3" t="s">
        <v>18</v>
      </c>
      <c r="E36" s="3" t="s">
        <v>10</v>
      </c>
      <c r="F36" s="7" t="n">
        <v>150</v>
      </c>
      <c r="G36" s="7" t="n">
        <v>3.5</v>
      </c>
      <c r="H36" s="7" t="n">
        <f aca="false">F36*G36</f>
        <v>525</v>
      </c>
      <c r="I36" s="7" t="s">
        <v>38</v>
      </c>
    </row>
    <row r="37" customFormat="false" ht="15" hidden="false" customHeight="true" outlineLevel="0" collapsed="false">
      <c r="A37" s="8" t="n">
        <v>36</v>
      </c>
      <c r="B37" s="8" t="n">
        <v>2025</v>
      </c>
      <c r="C37" s="8" t="s">
        <v>44</v>
      </c>
      <c r="D37" s="5" t="s">
        <v>21</v>
      </c>
      <c r="E37" s="5" t="s">
        <v>10</v>
      </c>
      <c r="F37" s="8" t="n">
        <v>350</v>
      </c>
      <c r="G37" s="8" t="n">
        <v>66.19</v>
      </c>
      <c r="H37" s="8" t="n">
        <f aca="false">F37*G37</f>
        <v>23166.5</v>
      </c>
      <c r="I37" s="8" t="s">
        <v>38</v>
      </c>
    </row>
    <row r="38" customFormat="false" ht="15" hidden="false" customHeight="true" outlineLevel="0" collapsed="false">
      <c r="A38" s="7" t="n">
        <v>37</v>
      </c>
      <c r="B38" s="7" t="n">
        <v>2025</v>
      </c>
      <c r="C38" s="7" t="s">
        <v>44</v>
      </c>
      <c r="D38" s="3" t="s">
        <v>22</v>
      </c>
      <c r="E38" s="3" t="s">
        <v>10</v>
      </c>
      <c r="F38" s="7" t="n">
        <v>350</v>
      </c>
      <c r="G38" s="7" t="n">
        <v>72</v>
      </c>
      <c r="H38" s="7" t="n">
        <f aca="false">F38*G38</f>
        <v>25200</v>
      </c>
      <c r="I38" s="7" t="s">
        <v>38</v>
      </c>
    </row>
    <row r="39" customFormat="false" ht="15" hidden="false" customHeight="true" outlineLevel="0" collapsed="false">
      <c r="A39" s="8" t="n">
        <v>38</v>
      </c>
      <c r="B39" s="8" t="n">
        <v>2025</v>
      </c>
      <c r="C39" s="8" t="s">
        <v>44</v>
      </c>
      <c r="D39" s="5" t="s">
        <v>23</v>
      </c>
      <c r="E39" s="5" t="s">
        <v>10</v>
      </c>
      <c r="F39" s="8" t="n">
        <v>150</v>
      </c>
      <c r="G39" s="8" t="n">
        <v>6.19</v>
      </c>
      <c r="H39" s="8" t="n">
        <f aca="false">F39*G39</f>
        <v>928.5</v>
      </c>
      <c r="I39" s="8" t="s">
        <v>38</v>
      </c>
    </row>
    <row r="40" customFormat="false" ht="15" hidden="false" customHeight="true" outlineLevel="0" collapsed="false">
      <c r="A40" s="7" t="n">
        <v>39</v>
      </c>
      <c r="B40" s="7" t="n">
        <v>2025</v>
      </c>
      <c r="C40" s="7" t="s">
        <v>44</v>
      </c>
      <c r="D40" s="3" t="s">
        <v>24</v>
      </c>
      <c r="E40" s="3" t="s">
        <v>25</v>
      </c>
      <c r="F40" s="7"/>
      <c r="G40" s="7" t="n">
        <v>0</v>
      </c>
      <c r="H40" s="9" t="n">
        <v>4000</v>
      </c>
      <c r="I40" s="7" t="s">
        <v>38</v>
      </c>
    </row>
    <row r="41" customFormat="false" ht="15" hidden="false" customHeight="true" outlineLevel="0" collapsed="false">
      <c r="A41" s="8" t="n">
        <v>40</v>
      </c>
      <c r="B41" s="8" t="n">
        <v>2025</v>
      </c>
      <c r="C41" s="8" t="s">
        <v>45</v>
      </c>
      <c r="D41" s="5" t="s">
        <v>16</v>
      </c>
      <c r="E41" s="5" t="s">
        <v>10</v>
      </c>
      <c r="F41" s="8" t="n">
        <v>100</v>
      </c>
      <c r="G41" s="8" t="n">
        <v>5</v>
      </c>
      <c r="H41" s="8" t="n">
        <f aca="false">F41*G41</f>
        <v>500</v>
      </c>
      <c r="I41" s="8" t="s">
        <v>38</v>
      </c>
    </row>
    <row r="42" customFormat="false" ht="15" hidden="false" customHeight="true" outlineLevel="0" collapsed="false">
      <c r="A42" s="7" t="n">
        <v>41</v>
      </c>
      <c r="B42" s="7" t="n">
        <v>2025</v>
      </c>
      <c r="C42" s="7" t="s">
        <v>45</v>
      </c>
      <c r="D42" s="3" t="s">
        <v>18</v>
      </c>
      <c r="E42" s="3" t="s">
        <v>10</v>
      </c>
      <c r="F42" s="7" t="n">
        <v>150</v>
      </c>
      <c r="G42" s="7" t="n">
        <v>5.25</v>
      </c>
      <c r="H42" s="7" t="n">
        <f aca="false">F42*G42</f>
        <v>787.5</v>
      </c>
      <c r="I42" s="7" t="s">
        <v>38</v>
      </c>
    </row>
    <row r="43" customFormat="false" ht="15" hidden="false" customHeight="true" outlineLevel="0" collapsed="false">
      <c r="A43" s="8" t="n">
        <v>42</v>
      </c>
      <c r="B43" s="8" t="n">
        <v>2025</v>
      </c>
      <c r="C43" s="8" t="s">
        <v>45</v>
      </c>
      <c r="D43" s="5" t="s">
        <v>21</v>
      </c>
      <c r="E43" s="5" t="s">
        <v>10</v>
      </c>
      <c r="F43" s="8" t="n">
        <v>350</v>
      </c>
      <c r="G43" s="8" t="n">
        <v>46</v>
      </c>
      <c r="H43" s="8" t="n">
        <f aca="false">F43*G43</f>
        <v>16100</v>
      </c>
      <c r="I43" s="8" t="s">
        <v>38</v>
      </c>
    </row>
    <row r="44" customFormat="false" ht="15" hidden="false" customHeight="true" outlineLevel="0" collapsed="false">
      <c r="A44" s="7" t="n">
        <v>43</v>
      </c>
      <c r="B44" s="7" t="n">
        <v>2025</v>
      </c>
      <c r="C44" s="7" t="s">
        <v>45</v>
      </c>
      <c r="D44" s="3" t="s">
        <v>22</v>
      </c>
      <c r="E44" s="3" t="s">
        <v>10</v>
      </c>
      <c r="F44" s="7" t="n">
        <v>350</v>
      </c>
      <c r="G44" s="7" t="n">
        <v>67.5</v>
      </c>
      <c r="H44" s="7" t="n">
        <f aca="false">F44*G44</f>
        <v>23625</v>
      </c>
      <c r="I44" s="7" t="s">
        <v>38</v>
      </c>
    </row>
    <row r="45" customFormat="false" ht="15" hidden="false" customHeight="true" outlineLevel="0" collapsed="false">
      <c r="A45" s="8" t="n">
        <v>44</v>
      </c>
      <c r="B45" s="8" t="n">
        <v>2025</v>
      </c>
      <c r="C45" s="8" t="s">
        <v>45</v>
      </c>
      <c r="D45" s="5" t="s">
        <v>23</v>
      </c>
      <c r="E45" s="5" t="s">
        <v>10</v>
      </c>
      <c r="F45" s="8" t="n">
        <v>150</v>
      </c>
      <c r="G45" s="8" t="n">
        <v>39.3</v>
      </c>
      <c r="H45" s="8" t="n">
        <f aca="false">F45*G45</f>
        <v>5895</v>
      </c>
      <c r="I45" s="8" t="s">
        <v>38</v>
      </c>
    </row>
    <row r="46" customFormat="false" ht="15" hidden="false" customHeight="true" outlineLevel="0" collapsed="false">
      <c r="A46" s="7" t="n">
        <v>45</v>
      </c>
      <c r="B46" s="7" t="n">
        <v>2025</v>
      </c>
      <c r="C46" s="7" t="s">
        <v>45</v>
      </c>
      <c r="D46" s="3" t="s">
        <v>24</v>
      </c>
      <c r="E46" s="3" t="s">
        <v>25</v>
      </c>
      <c r="F46" s="7" t="n">
        <v>54.05</v>
      </c>
      <c r="G46" s="7" t="n">
        <v>111</v>
      </c>
      <c r="H46" s="9" t="n">
        <v>6000</v>
      </c>
      <c r="I46" s="7" t="s">
        <v>38</v>
      </c>
    </row>
    <row r="47" customFormat="false" ht="15" hidden="false" customHeight="true" outlineLevel="0" collapsed="false">
      <c r="A47" s="8" t="n">
        <v>46</v>
      </c>
      <c r="B47" s="8" t="n">
        <v>2025</v>
      </c>
      <c r="C47" s="8" t="s">
        <v>46</v>
      </c>
      <c r="D47" s="5" t="s">
        <v>16</v>
      </c>
      <c r="E47" s="5" t="s">
        <v>10</v>
      </c>
      <c r="F47" s="8" t="n">
        <v>100</v>
      </c>
      <c r="G47" s="8" t="n">
        <v>0</v>
      </c>
      <c r="H47" s="8" t="n">
        <f aca="false">F47*G47</f>
        <v>0</v>
      </c>
      <c r="I47" s="8" t="s">
        <v>38</v>
      </c>
    </row>
    <row r="48" customFormat="false" ht="15" hidden="false" customHeight="true" outlineLevel="0" collapsed="false">
      <c r="A48" s="7" t="n">
        <v>47</v>
      </c>
      <c r="B48" s="7" t="n">
        <v>2025</v>
      </c>
      <c r="C48" s="7" t="s">
        <v>46</v>
      </c>
      <c r="D48" s="3" t="s">
        <v>18</v>
      </c>
      <c r="E48" s="3" t="s">
        <v>10</v>
      </c>
      <c r="F48" s="7" t="n">
        <v>150</v>
      </c>
      <c r="G48" s="7" t="n">
        <v>91</v>
      </c>
      <c r="H48" s="7" t="n">
        <f aca="false">F48*G48</f>
        <v>13650</v>
      </c>
      <c r="I48" s="7" t="s">
        <v>38</v>
      </c>
    </row>
    <row r="49" customFormat="false" ht="15" hidden="false" customHeight="true" outlineLevel="0" collapsed="false">
      <c r="A49" s="8" t="n">
        <v>48</v>
      </c>
      <c r="B49" s="8" t="n">
        <v>2025</v>
      </c>
      <c r="C49" s="8" t="s">
        <v>46</v>
      </c>
      <c r="D49" s="5" t="s">
        <v>21</v>
      </c>
      <c r="E49" s="5" t="s">
        <v>10</v>
      </c>
      <c r="F49" s="8" t="n">
        <v>350</v>
      </c>
      <c r="G49" s="8" t="n">
        <v>0</v>
      </c>
      <c r="H49" s="8" t="n">
        <f aca="false">F49*G49</f>
        <v>0</v>
      </c>
      <c r="I49" s="8" t="s">
        <v>38</v>
      </c>
    </row>
    <row r="50" customFormat="false" ht="15" hidden="false" customHeight="true" outlineLevel="0" collapsed="false">
      <c r="A50" s="7" t="n">
        <v>49</v>
      </c>
      <c r="B50" s="7" t="n">
        <v>2025</v>
      </c>
      <c r="C50" s="7" t="s">
        <v>46</v>
      </c>
      <c r="D50" s="3" t="s">
        <v>22</v>
      </c>
      <c r="E50" s="3" t="s">
        <v>10</v>
      </c>
      <c r="F50" s="7" t="n">
        <v>350</v>
      </c>
      <c r="G50" s="7" t="n">
        <v>65.75</v>
      </c>
      <c r="H50" s="7" t="n">
        <f aca="false">F50*G50</f>
        <v>23012.5</v>
      </c>
      <c r="I50" s="7" t="s">
        <v>38</v>
      </c>
    </row>
    <row r="51" customFormat="false" ht="15" hidden="false" customHeight="true" outlineLevel="0" collapsed="false">
      <c r="A51" s="8" t="n">
        <v>50</v>
      </c>
      <c r="B51" s="8" t="n">
        <v>2025</v>
      </c>
      <c r="C51" s="8" t="s">
        <v>46</v>
      </c>
      <c r="D51" s="5" t="s">
        <v>23</v>
      </c>
      <c r="E51" s="5" t="s">
        <v>10</v>
      </c>
      <c r="F51" s="8" t="n">
        <v>150</v>
      </c>
      <c r="G51" s="8" t="n">
        <v>25.5</v>
      </c>
      <c r="H51" s="8" t="n">
        <f aca="false">F51*G51</f>
        <v>3825</v>
      </c>
      <c r="I51" s="8" t="s">
        <v>38</v>
      </c>
    </row>
    <row r="52" customFormat="false" ht="15" hidden="false" customHeight="true" outlineLevel="0" collapsed="false">
      <c r="A52" s="7" t="n">
        <v>51</v>
      </c>
      <c r="B52" s="7" t="n">
        <v>2025</v>
      </c>
      <c r="C52" s="7" t="s">
        <v>46</v>
      </c>
      <c r="D52" s="3" t="s">
        <v>24</v>
      </c>
      <c r="E52" s="3" t="s">
        <v>25</v>
      </c>
      <c r="F52" s="7"/>
      <c r="G52" s="7" t="n">
        <v>0</v>
      </c>
      <c r="H52" s="9" t="n">
        <v>6000</v>
      </c>
      <c r="I52" s="7" t="s">
        <v>38</v>
      </c>
    </row>
    <row r="53" customFormat="false" ht="15" hidden="false" customHeight="true" outlineLevel="0" collapsed="false">
      <c r="A53" s="8" t="n">
        <v>52</v>
      </c>
      <c r="B53" s="8" t="n">
        <v>2025</v>
      </c>
      <c r="C53" s="8" t="s">
        <v>47</v>
      </c>
      <c r="D53" s="5" t="s">
        <v>16</v>
      </c>
      <c r="E53" s="5" t="s">
        <v>10</v>
      </c>
      <c r="F53" s="8" t="n">
        <v>100</v>
      </c>
      <c r="G53" s="8" t="n">
        <v>2</v>
      </c>
      <c r="H53" s="8" t="n">
        <f aca="false">F53*G53</f>
        <v>200</v>
      </c>
      <c r="I53" s="8" t="s">
        <v>48</v>
      </c>
    </row>
    <row r="54" customFormat="false" ht="15" hidden="false" customHeight="true" outlineLevel="0" collapsed="false">
      <c r="A54" s="7" t="n">
        <v>53</v>
      </c>
      <c r="B54" s="7" t="n">
        <v>2025</v>
      </c>
      <c r="C54" s="7" t="s">
        <v>47</v>
      </c>
      <c r="D54" s="3" t="s">
        <v>18</v>
      </c>
      <c r="E54" s="3" t="s">
        <v>10</v>
      </c>
      <c r="F54" s="7" t="n">
        <v>150</v>
      </c>
      <c r="G54" s="7" t="n">
        <v>35</v>
      </c>
      <c r="H54" s="7" t="n">
        <f aca="false">F54*G54</f>
        <v>5250</v>
      </c>
      <c r="I54" s="7" t="s">
        <v>38</v>
      </c>
    </row>
    <row r="55" customFormat="false" ht="15" hidden="false" customHeight="true" outlineLevel="0" collapsed="false">
      <c r="A55" s="8" t="n">
        <v>54</v>
      </c>
      <c r="B55" s="8" t="n">
        <v>2025</v>
      </c>
      <c r="C55" s="8" t="s">
        <v>47</v>
      </c>
      <c r="D55" s="5" t="s">
        <v>21</v>
      </c>
      <c r="E55" s="5" t="s">
        <v>10</v>
      </c>
      <c r="F55" s="8" t="n">
        <v>350</v>
      </c>
      <c r="G55" s="8" t="n">
        <v>41</v>
      </c>
      <c r="H55" s="8" t="n">
        <f aca="false">F55*G55</f>
        <v>14350</v>
      </c>
      <c r="I55" s="8" t="s">
        <v>38</v>
      </c>
    </row>
    <row r="56" customFormat="false" ht="15" hidden="false" customHeight="true" outlineLevel="0" collapsed="false">
      <c r="A56" s="7" t="n">
        <v>55</v>
      </c>
      <c r="B56" s="7" t="n">
        <v>2025</v>
      </c>
      <c r="C56" s="7" t="s">
        <v>47</v>
      </c>
      <c r="D56" s="3" t="s">
        <v>22</v>
      </c>
      <c r="E56" s="3" t="s">
        <v>10</v>
      </c>
      <c r="F56" s="7" t="n">
        <v>350</v>
      </c>
      <c r="G56" s="7" t="n">
        <v>77.14</v>
      </c>
      <c r="H56" s="7" t="n">
        <f aca="false">F56*G56</f>
        <v>26999</v>
      </c>
      <c r="I56" s="7" t="s">
        <v>38</v>
      </c>
    </row>
    <row r="57" customFormat="false" ht="15" hidden="false" customHeight="true" outlineLevel="0" collapsed="false">
      <c r="A57" s="8" t="n">
        <v>56</v>
      </c>
      <c r="B57" s="8" t="n">
        <v>2025</v>
      </c>
      <c r="C57" s="8" t="s">
        <v>47</v>
      </c>
      <c r="D57" s="5" t="s">
        <v>23</v>
      </c>
      <c r="E57" s="5" t="s">
        <v>10</v>
      </c>
      <c r="F57" s="8" t="n">
        <v>150</v>
      </c>
      <c r="G57" s="8" t="n">
        <v>25</v>
      </c>
      <c r="H57" s="8" t="n">
        <f aca="false">F57*G57</f>
        <v>3750</v>
      </c>
      <c r="I57" s="8" t="s">
        <v>38</v>
      </c>
    </row>
    <row r="58" customFormat="false" ht="15" hidden="false" customHeight="true" outlineLevel="0" collapsed="false">
      <c r="A58" s="7" t="n">
        <v>57</v>
      </c>
      <c r="B58" s="7" t="n">
        <v>2025</v>
      </c>
      <c r="C58" s="7" t="s">
        <v>47</v>
      </c>
      <c r="D58" s="3" t="s">
        <v>24</v>
      </c>
      <c r="E58" s="3" t="s">
        <v>25</v>
      </c>
      <c r="F58" s="7"/>
      <c r="G58" s="7" t="n">
        <v>0</v>
      </c>
      <c r="H58" s="9" t="n">
        <v>6000</v>
      </c>
      <c r="I58" s="7" t="s">
        <v>38</v>
      </c>
    </row>
    <row r="59" customFormat="false" ht="15" hidden="false" customHeight="true" outlineLevel="0" collapsed="false">
      <c r="A59" s="8" t="n">
        <v>58</v>
      </c>
      <c r="B59" s="8" t="n">
        <v>2025</v>
      </c>
      <c r="C59" s="8" t="s">
        <v>47</v>
      </c>
      <c r="D59" s="5" t="s">
        <v>26</v>
      </c>
      <c r="E59" s="5" t="s">
        <v>27</v>
      </c>
      <c r="F59" s="8"/>
      <c r="G59" s="8" t="n">
        <v>50</v>
      </c>
      <c r="H59" s="10" t="n">
        <v>12500</v>
      </c>
      <c r="I59" s="8" t="s">
        <v>38</v>
      </c>
    </row>
    <row r="60" customFormat="false" ht="15" hidden="false" customHeight="true" outlineLevel="0" collapsed="false">
      <c r="A60" s="7" t="n">
        <v>59</v>
      </c>
      <c r="B60" s="7" t="n">
        <v>2026</v>
      </c>
      <c r="C60" s="7" t="s">
        <v>49</v>
      </c>
      <c r="D60" s="3" t="s">
        <v>16</v>
      </c>
      <c r="E60" s="3" t="s">
        <v>10</v>
      </c>
      <c r="F60" s="7" t="n">
        <v>100</v>
      </c>
      <c r="G60" s="7" t="n">
        <v>2.5</v>
      </c>
      <c r="H60" s="7" t="n">
        <f aca="false">F60*G60</f>
        <v>250</v>
      </c>
      <c r="I60" s="7" t="s">
        <v>48</v>
      </c>
    </row>
    <row r="61" customFormat="false" ht="15" hidden="false" customHeight="true" outlineLevel="0" collapsed="false">
      <c r="A61" s="8" t="n">
        <v>60</v>
      </c>
      <c r="B61" s="8" t="n">
        <v>2026</v>
      </c>
      <c r="C61" s="8" t="s">
        <v>49</v>
      </c>
      <c r="D61" s="5" t="s">
        <v>18</v>
      </c>
      <c r="E61" s="5" t="s">
        <v>10</v>
      </c>
      <c r="F61" s="8" t="n">
        <v>150</v>
      </c>
      <c r="G61" s="8" t="n">
        <v>81</v>
      </c>
      <c r="H61" s="8" t="n">
        <f aca="false">F61*G61</f>
        <v>12150</v>
      </c>
      <c r="I61" s="8" t="s">
        <v>38</v>
      </c>
    </row>
    <row r="62" customFormat="false" ht="15" hidden="false" customHeight="true" outlineLevel="0" collapsed="false">
      <c r="A62" s="7" t="n">
        <v>61</v>
      </c>
      <c r="B62" s="7" t="n">
        <v>2026</v>
      </c>
      <c r="C62" s="7" t="s">
        <v>49</v>
      </c>
      <c r="D62" s="3" t="s">
        <v>21</v>
      </c>
      <c r="E62" s="3" t="s">
        <v>10</v>
      </c>
      <c r="F62" s="7" t="n">
        <v>350</v>
      </c>
      <c r="G62" s="7" t="n">
        <v>27.1</v>
      </c>
      <c r="H62" s="7" t="n">
        <f aca="false">F62*G62</f>
        <v>9485</v>
      </c>
      <c r="I62" s="7" t="s">
        <v>38</v>
      </c>
    </row>
    <row r="63" customFormat="false" ht="15" hidden="false" customHeight="true" outlineLevel="0" collapsed="false">
      <c r="A63" s="8" t="n">
        <v>62</v>
      </c>
      <c r="B63" s="8" t="n">
        <v>2026</v>
      </c>
      <c r="C63" s="8" t="s">
        <v>49</v>
      </c>
      <c r="D63" s="5" t="s">
        <v>22</v>
      </c>
      <c r="E63" s="5" t="s">
        <v>10</v>
      </c>
      <c r="F63" s="8" t="n">
        <v>350</v>
      </c>
      <c r="G63" s="8" t="n">
        <v>66</v>
      </c>
      <c r="H63" s="8" t="n">
        <f aca="false">F63*G63</f>
        <v>23100</v>
      </c>
      <c r="I63" s="8" t="s">
        <v>38</v>
      </c>
    </row>
    <row r="64" customFormat="false" ht="15" hidden="false" customHeight="true" outlineLevel="0" collapsed="false">
      <c r="A64" s="7" t="n">
        <v>63</v>
      </c>
      <c r="B64" s="7" t="n">
        <v>2026</v>
      </c>
      <c r="C64" s="7" t="s">
        <v>49</v>
      </c>
      <c r="D64" s="3" t="s">
        <v>23</v>
      </c>
      <c r="E64" s="3" t="s">
        <v>10</v>
      </c>
      <c r="F64" s="7" t="n">
        <v>150</v>
      </c>
      <c r="G64" s="7" t="n">
        <v>22</v>
      </c>
      <c r="H64" s="7" t="n">
        <f aca="false">F64*G64</f>
        <v>3300</v>
      </c>
      <c r="I64" s="7" t="s">
        <v>38</v>
      </c>
    </row>
    <row r="65" customFormat="false" ht="15" hidden="false" customHeight="true" outlineLevel="0" collapsed="false">
      <c r="A65" s="8" t="n">
        <v>64</v>
      </c>
      <c r="B65" s="8" t="n">
        <v>2026</v>
      </c>
      <c r="C65" s="8" t="s">
        <v>49</v>
      </c>
      <c r="D65" s="5" t="s">
        <v>24</v>
      </c>
      <c r="E65" s="5" t="s">
        <v>25</v>
      </c>
      <c r="F65" s="8"/>
      <c r="G65" s="8" t="n">
        <v>0</v>
      </c>
      <c r="H65" s="10" t="n">
        <v>6000</v>
      </c>
      <c r="I65" s="8" t="s">
        <v>38</v>
      </c>
    </row>
    <row r="66" customFormat="false" ht="15" hidden="false" customHeight="true" outlineLevel="0" collapsed="false">
      <c r="A66" s="7" t="n">
        <v>65</v>
      </c>
      <c r="B66" s="7" t="n">
        <v>2026</v>
      </c>
      <c r="C66" s="7" t="s">
        <v>49</v>
      </c>
      <c r="D66" s="3" t="s">
        <v>26</v>
      </c>
      <c r="E66" s="3" t="s">
        <v>27</v>
      </c>
      <c r="F66" s="7" t="n">
        <v>170.07</v>
      </c>
      <c r="G66" s="7" t="n">
        <v>99.2</v>
      </c>
      <c r="H66" s="9" t="n">
        <v>16870.75</v>
      </c>
      <c r="I66" s="7" t="s">
        <v>38</v>
      </c>
    </row>
    <row r="67" customFormat="false" ht="15" hidden="false" customHeight="true" outlineLevel="0" collapsed="false">
      <c r="A67" s="8" t="n">
        <v>66</v>
      </c>
      <c r="B67" s="8" t="n">
        <v>2026</v>
      </c>
      <c r="C67" s="8" t="s">
        <v>50</v>
      </c>
      <c r="D67" s="5" t="s">
        <v>16</v>
      </c>
      <c r="E67" s="5" t="s">
        <v>10</v>
      </c>
      <c r="F67" s="8" t="n">
        <v>100</v>
      </c>
      <c r="G67" s="8" t="n">
        <v>0</v>
      </c>
      <c r="H67" s="8" t="n">
        <f aca="false">F67*G67</f>
        <v>0</v>
      </c>
      <c r="I67" s="8" t="s">
        <v>48</v>
      </c>
    </row>
    <row r="68" customFormat="false" ht="15" hidden="false" customHeight="true" outlineLevel="0" collapsed="false">
      <c r="A68" s="7" t="n">
        <v>67</v>
      </c>
      <c r="B68" s="7" t="n">
        <v>2026</v>
      </c>
      <c r="C68" s="7" t="s">
        <v>50</v>
      </c>
      <c r="D68" s="3" t="s">
        <v>18</v>
      </c>
      <c r="E68" s="3" t="s">
        <v>10</v>
      </c>
      <c r="F68" s="7" t="n">
        <v>150</v>
      </c>
      <c r="G68" s="7" t="n">
        <v>22.85</v>
      </c>
      <c r="H68" s="7" t="n">
        <f aca="false">F68*G68</f>
        <v>3427.5</v>
      </c>
      <c r="I68" s="7" t="s">
        <v>38</v>
      </c>
    </row>
    <row r="69" customFormat="false" ht="15" hidden="false" customHeight="true" outlineLevel="0" collapsed="false">
      <c r="A69" s="8" t="n">
        <v>68</v>
      </c>
      <c r="B69" s="8" t="n">
        <v>2026</v>
      </c>
      <c r="C69" s="8" t="s">
        <v>50</v>
      </c>
      <c r="D69" s="5" t="s">
        <v>21</v>
      </c>
      <c r="E69" s="5" t="s">
        <v>10</v>
      </c>
      <c r="F69" s="8" t="n">
        <v>950</v>
      </c>
      <c r="G69" s="8" t="n">
        <v>33.95</v>
      </c>
      <c r="H69" s="8" t="n">
        <f aca="false">F69*G69</f>
        <v>32252.5</v>
      </c>
      <c r="I69" s="8" t="s">
        <v>38</v>
      </c>
    </row>
    <row r="70" customFormat="false" ht="15" hidden="false" customHeight="true" outlineLevel="0" collapsed="false">
      <c r="A70" s="7" t="n">
        <v>69</v>
      </c>
      <c r="B70" s="7" t="n">
        <v>2026</v>
      </c>
      <c r="C70" s="7" t="s">
        <v>50</v>
      </c>
      <c r="D70" s="3" t="s">
        <v>22</v>
      </c>
      <c r="E70" s="3" t="s">
        <v>10</v>
      </c>
      <c r="F70" s="7" t="n">
        <v>350</v>
      </c>
      <c r="G70" s="7" t="n">
        <v>55.15</v>
      </c>
      <c r="H70" s="7" t="n">
        <f aca="false">F70*G70</f>
        <v>19302.5</v>
      </c>
      <c r="I70" s="7" t="s">
        <v>38</v>
      </c>
    </row>
    <row r="71" customFormat="false" ht="15" hidden="false" customHeight="true" outlineLevel="0" collapsed="false">
      <c r="A71" s="8" t="n">
        <v>70</v>
      </c>
      <c r="B71" s="8" t="n">
        <v>2026</v>
      </c>
      <c r="C71" s="8" t="s">
        <v>50</v>
      </c>
      <c r="D71" s="5" t="s">
        <v>23</v>
      </c>
      <c r="E71" s="5" t="s">
        <v>10</v>
      </c>
      <c r="F71" s="8" t="n">
        <v>150</v>
      </c>
      <c r="G71" s="8" t="n">
        <v>18.75</v>
      </c>
      <c r="H71" s="8" t="n">
        <f aca="false">F71*G71</f>
        <v>2812.5</v>
      </c>
      <c r="I71" s="8" t="s">
        <v>38</v>
      </c>
    </row>
    <row r="72" customFormat="false" ht="15" hidden="false" customHeight="true" outlineLevel="0" collapsed="false">
      <c r="A72" s="7" t="n">
        <v>71</v>
      </c>
      <c r="B72" s="7" t="n">
        <v>2026</v>
      </c>
      <c r="C72" s="7" t="s">
        <v>50</v>
      </c>
      <c r="D72" s="3" t="s">
        <v>24</v>
      </c>
      <c r="E72" s="3" t="s">
        <v>25</v>
      </c>
      <c r="F72" s="7"/>
      <c r="G72" s="7" t="n">
        <v>118.55</v>
      </c>
      <c r="H72" s="9" t="n">
        <v>6000</v>
      </c>
      <c r="I72" s="7" t="s">
        <v>38</v>
      </c>
    </row>
    <row r="73" customFormat="false" ht="15" hidden="false" customHeight="true" outlineLevel="0" collapsed="false">
      <c r="A73" s="8" t="n">
        <v>72</v>
      </c>
      <c r="B73" s="8" t="n">
        <v>2026</v>
      </c>
      <c r="C73" s="8" t="s">
        <v>50</v>
      </c>
      <c r="D73" s="5" t="s">
        <v>26</v>
      </c>
      <c r="E73" s="5" t="s">
        <v>27</v>
      </c>
      <c r="F73" s="8"/>
      <c r="G73" s="8" t="n">
        <v>73</v>
      </c>
      <c r="H73" s="10" t="n">
        <v>12000</v>
      </c>
      <c r="I73" s="8" t="s">
        <v>38</v>
      </c>
    </row>
    <row r="74" customFormat="false" ht="15" hidden="false" customHeight="true" outlineLevel="0" collapsed="false">
      <c r="A74" s="7" t="n">
        <v>73</v>
      </c>
      <c r="B74" s="7" t="n">
        <v>2026</v>
      </c>
      <c r="C74" s="7" t="s">
        <v>50</v>
      </c>
      <c r="D74" s="3" t="s">
        <v>29</v>
      </c>
      <c r="E74" s="3" t="s">
        <v>27</v>
      </c>
      <c r="F74" s="7"/>
      <c r="G74" s="7" t="n">
        <v>18</v>
      </c>
      <c r="H74" s="9" t="n">
        <v>16363.64</v>
      </c>
      <c r="I74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13" min="2" style="1" width="14"/>
  </cols>
  <sheetData>
    <row r="1" customFormat="false" ht="15" hidden="false" customHeight="true" outlineLevel="0" collapsed="false">
      <c r="A1" s="2" t="s">
        <v>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</row>
    <row r="2" customFormat="false" ht="15" hidden="false" customHeight="true" outlineLevel="0" collapsed="false">
      <c r="A2" s="11" t="s">
        <v>8</v>
      </c>
      <c r="B2" s="12" t="n">
        <f aca="false">SUMIFS('Time Log'!H:H,'Time Log'!D:D,"Rana El Sobky",'Time Log'!C:C,"March")</f>
        <v>2737.5</v>
      </c>
      <c r="C2" s="12" t="n">
        <f aca="false">SUMIFS('Time Log'!H:H,'Time Log'!D:D,"Rana El Sobky",'Time Log'!C:C,"April")</f>
        <v>1500</v>
      </c>
      <c r="D2" s="12" t="n">
        <f aca="false">SUMIFS('Time Log'!H:H,'Time Log'!D:D,"Rana El Sobky",'Time Log'!C:C,"May")</f>
        <v>4500</v>
      </c>
      <c r="E2" s="12" t="n">
        <f aca="false">SUMIFS('Time Log'!H:H,'Time Log'!D:D,"Rana El Sobky",'Time Log'!C:C,"June")</f>
        <v>0</v>
      </c>
      <c r="F2" s="12" t="n">
        <f aca="false">SUMIFS('Time Log'!H:H,'Time Log'!D:D,"Rana El Sobky",'Time Log'!C:C,"July")</f>
        <v>2292.5</v>
      </c>
      <c r="G2" s="12" t="n">
        <f aca="false">SUMIFS('Time Log'!H:H,'Time Log'!D:D,"Rana El Sobky",'Time Log'!C:C,"August")</f>
        <v>1187.5</v>
      </c>
      <c r="H2" s="12" t="n">
        <f aca="false">SUMIFS('Time Log'!H:H,'Time Log'!D:D,"Rana El Sobky",'Time Log'!C:C,"September")</f>
        <v>0</v>
      </c>
      <c r="I2" s="12" t="n">
        <f aca="false">SUMIFS('Time Log'!H:H,'Time Log'!D:D,"Rana El Sobky",'Time Log'!C:C,"October")</f>
        <v>7040</v>
      </c>
      <c r="J2" s="12" t="n">
        <f aca="false">SUMIFS('Time Log'!H:H,'Time Log'!D:D,"Rana El Sobky",'Time Log'!C:C,"November")</f>
        <v>0</v>
      </c>
      <c r="K2" s="12" t="n">
        <f aca="false">SUMIFS('Time Log'!H:H,'Time Log'!D:D,"Rana El Sobky",'Time Log'!C:C,"December")</f>
        <v>0</v>
      </c>
      <c r="L2" s="12" t="n">
        <f aca="false">SUMIFS('Time Log'!H:H,'Time Log'!D:D,"Rana El Sobky",'Time Log'!C:C,"January")</f>
        <v>0</v>
      </c>
      <c r="M2" s="12" t="n">
        <f aca="false">SUMIFS('Time Log'!H:H,'Time Log'!D:D,"Rana El Sobky",'Time Log'!C:C,"February")</f>
        <v>0</v>
      </c>
    </row>
    <row r="3" customFormat="false" ht="15" hidden="false" customHeight="true" outlineLevel="0" collapsed="false">
      <c r="A3" s="13" t="s">
        <v>14</v>
      </c>
      <c r="B3" s="14" t="n">
        <f aca="false">SUMIFS('Time Log'!H:H,'Time Log'!D:D,"Abaza",'Time Log'!C:C,"March")</f>
        <v>1125</v>
      </c>
      <c r="C3" s="14" t="n">
        <f aca="false">SUMIFS('Time Log'!H:H,'Time Log'!D:D,"Abaza",'Time Log'!C:C,"April")</f>
        <v>1400</v>
      </c>
      <c r="D3" s="14" t="n">
        <f aca="false">SUMIFS('Time Log'!H:H,'Time Log'!D:D,"Abaza",'Time Log'!C:C,"May")</f>
        <v>1600</v>
      </c>
      <c r="E3" s="14" t="n">
        <f aca="false">SUMIFS('Time Log'!H:H,'Time Log'!D:D,"Abaza",'Time Log'!C:C,"June")</f>
        <v>1296</v>
      </c>
      <c r="F3" s="14" t="n">
        <f aca="false">SUMIFS('Time Log'!H:H,'Time Log'!D:D,"Abaza",'Time Log'!C:C,"July")</f>
        <v>0</v>
      </c>
      <c r="G3" s="14" t="n">
        <f aca="false">SUMIFS('Time Log'!H:H,'Time Log'!D:D,"Abaza",'Time Log'!C:C,"August")</f>
        <v>0</v>
      </c>
      <c r="H3" s="14" t="n">
        <f aca="false">SUMIFS('Time Log'!H:H,'Time Log'!D:D,"Abaza",'Time Log'!C:C,"September")</f>
        <v>0</v>
      </c>
      <c r="I3" s="14" t="n">
        <f aca="false">SUMIFS('Time Log'!H:H,'Time Log'!D:D,"Abaza",'Time Log'!C:C,"October")</f>
        <v>0</v>
      </c>
      <c r="J3" s="14" t="n">
        <f aca="false">SUMIFS('Time Log'!H:H,'Time Log'!D:D,"Abaza",'Time Log'!C:C,"November")</f>
        <v>0</v>
      </c>
      <c r="K3" s="14" t="n">
        <f aca="false">SUMIFS('Time Log'!H:H,'Time Log'!D:D,"Abaza",'Time Log'!C:C,"December")</f>
        <v>0</v>
      </c>
      <c r="L3" s="14" t="n">
        <f aca="false">SUMIFS('Time Log'!H:H,'Time Log'!D:D,"Abaza",'Time Log'!C:C,"January")</f>
        <v>0</v>
      </c>
      <c r="M3" s="14" t="n">
        <f aca="false">SUMIFS('Time Log'!H:H,'Time Log'!D:D,"Abaza",'Time Log'!C:C,"February")</f>
        <v>0</v>
      </c>
    </row>
    <row r="4" customFormat="false" ht="15" hidden="false" customHeight="true" outlineLevel="0" collapsed="false">
      <c r="A4" s="11" t="s">
        <v>16</v>
      </c>
      <c r="B4" s="12" t="n">
        <f aca="false">SUMIFS('Time Log'!H:H,'Time Log'!D:D,"Alaa Ashraf",'Time Log'!C:C,"March")</f>
        <v>0</v>
      </c>
      <c r="C4" s="12" t="n">
        <f aca="false">SUMIFS('Time Log'!H:H,'Time Log'!D:D,"Alaa Ashraf",'Time Log'!C:C,"April")</f>
        <v>725</v>
      </c>
      <c r="D4" s="12" t="n">
        <f aca="false">SUMIFS('Time Log'!H:H,'Time Log'!D:D,"Alaa Ashraf",'Time Log'!C:C,"May")</f>
        <v>115</v>
      </c>
      <c r="E4" s="12" t="n">
        <f aca="false">SUMIFS('Time Log'!H:H,'Time Log'!D:D,"Alaa Ashraf",'Time Log'!C:C,"June")</f>
        <v>0</v>
      </c>
      <c r="F4" s="12" t="n">
        <f aca="false">SUMIFS('Time Log'!H:H,'Time Log'!D:D,"Alaa Ashraf",'Time Log'!C:C,"July")</f>
        <v>1020</v>
      </c>
      <c r="G4" s="12" t="n">
        <f aca="false">SUMIFS('Time Log'!H:H,'Time Log'!D:D,"Alaa Ashraf",'Time Log'!C:C,"August")</f>
        <v>959</v>
      </c>
      <c r="H4" s="12" t="n">
        <f aca="false">SUMIFS('Time Log'!H:H,'Time Log'!D:D,"Alaa Ashraf",'Time Log'!C:C,"September")</f>
        <v>1020</v>
      </c>
      <c r="I4" s="12" t="n">
        <f aca="false">SUMIFS('Time Log'!H:H,'Time Log'!D:D,"Alaa Ashraf",'Time Log'!C:C,"October")</f>
        <v>500</v>
      </c>
      <c r="J4" s="12" t="n">
        <f aca="false">SUMIFS('Time Log'!H:H,'Time Log'!D:D,"Alaa Ashraf",'Time Log'!C:C,"November")</f>
        <v>0</v>
      </c>
      <c r="K4" s="12" t="n">
        <f aca="false">SUMIFS('Time Log'!H:H,'Time Log'!D:D,"Alaa Ashraf",'Time Log'!C:C,"December")</f>
        <v>200</v>
      </c>
      <c r="L4" s="12" t="n">
        <f aca="false">SUMIFS('Time Log'!H:H,'Time Log'!D:D,"Alaa Ashraf",'Time Log'!C:C,"January")</f>
        <v>250</v>
      </c>
      <c r="M4" s="12" t="n">
        <f aca="false">SUMIFS('Time Log'!H:H,'Time Log'!D:D,"Alaa Ashraf",'Time Log'!C:C,"February")</f>
        <v>0</v>
      </c>
    </row>
    <row r="5" customFormat="false" ht="15" hidden="false" customHeight="true" outlineLevel="0" collapsed="false">
      <c r="A5" s="13" t="s">
        <v>18</v>
      </c>
      <c r="B5" s="14" t="n">
        <f aca="false">SUMIFS('Time Log'!H:H,'Time Log'!D:D,"Nada Amin",'Time Log'!C:C,"March")</f>
        <v>0</v>
      </c>
      <c r="C5" s="14" t="n">
        <f aca="false">SUMIFS('Time Log'!H:H,'Time Log'!D:D,"Nada Amin",'Time Log'!C:C,"April")</f>
        <v>2550</v>
      </c>
      <c r="D5" s="14" t="n">
        <f aca="false">SUMIFS('Time Log'!H:H,'Time Log'!D:D,"Nada Amin",'Time Log'!C:C,"May")</f>
        <v>6267</v>
      </c>
      <c r="E5" s="14" t="n">
        <f aca="false">SUMIFS('Time Log'!H:H,'Time Log'!D:D,"Nada Amin",'Time Log'!C:C,"June")</f>
        <v>0</v>
      </c>
      <c r="F5" s="14" t="n">
        <f aca="false">SUMIFS('Time Log'!H:H,'Time Log'!D:D,"Nada Amin",'Time Log'!C:C,"July")</f>
        <v>2025</v>
      </c>
      <c r="G5" s="14" t="n">
        <f aca="false">SUMIFS('Time Log'!H:H,'Time Log'!D:D,"Nada Amin",'Time Log'!C:C,"August")</f>
        <v>375</v>
      </c>
      <c r="H5" s="14" t="n">
        <f aca="false">SUMIFS('Time Log'!H:H,'Time Log'!D:D,"Nada Amin",'Time Log'!C:C,"September")</f>
        <v>12285</v>
      </c>
      <c r="I5" s="14" t="n">
        <f aca="false">SUMIFS('Time Log'!H:H,'Time Log'!D:D,"Nada Amin",'Time Log'!C:C,"October")</f>
        <v>787.5</v>
      </c>
      <c r="J5" s="14" t="n">
        <f aca="false">SUMIFS('Time Log'!H:H,'Time Log'!D:D,"Nada Amin",'Time Log'!C:C,"November")</f>
        <v>13650</v>
      </c>
      <c r="K5" s="14" t="n">
        <f aca="false">SUMIFS('Time Log'!H:H,'Time Log'!D:D,"Nada Amin",'Time Log'!C:C,"December")</f>
        <v>5250</v>
      </c>
      <c r="L5" s="14" t="n">
        <f aca="false">SUMIFS('Time Log'!H:H,'Time Log'!D:D,"Nada Amin",'Time Log'!C:C,"January")</f>
        <v>12150</v>
      </c>
      <c r="M5" s="14" t="n">
        <f aca="false">SUMIFS('Time Log'!H:H,'Time Log'!D:D,"Nada Amin",'Time Log'!C:C,"February")</f>
        <v>3427.5</v>
      </c>
    </row>
    <row r="6" customFormat="false" ht="15" hidden="false" customHeight="true" outlineLevel="0" collapsed="false">
      <c r="A6" s="11" t="s">
        <v>19</v>
      </c>
      <c r="B6" s="12" t="n">
        <f aca="false">SUMIFS('Time Log'!H:H,'Time Log'!D:D,"Ahmed Hamdy",'Time Log'!C:C,"March")</f>
        <v>0</v>
      </c>
      <c r="C6" s="12" t="n">
        <f aca="false">SUMIFS('Time Log'!H:H,'Time Log'!D:D,"Ahmed Hamdy",'Time Log'!C:C,"April")</f>
        <v>4500</v>
      </c>
      <c r="D6" s="12" t="n">
        <f aca="false">SUMIFS('Time Log'!H:H,'Time Log'!D:D,"Ahmed Hamdy",'Time Log'!C:C,"May")</f>
        <v>0</v>
      </c>
      <c r="E6" s="12" t="n">
        <f aca="false">SUMIFS('Time Log'!H:H,'Time Log'!D:D,"Ahmed Hamdy",'Time Log'!C:C,"June")</f>
        <v>0</v>
      </c>
      <c r="F6" s="12" t="n">
        <f aca="false">SUMIFS('Time Log'!H:H,'Time Log'!D:D,"Ahmed Hamdy",'Time Log'!C:C,"July")</f>
        <v>0</v>
      </c>
      <c r="G6" s="12" t="n">
        <f aca="false">SUMIFS('Time Log'!H:H,'Time Log'!D:D,"Ahmed Hamdy",'Time Log'!C:C,"August")</f>
        <v>0</v>
      </c>
      <c r="H6" s="12" t="n">
        <f aca="false">SUMIFS('Time Log'!H:H,'Time Log'!D:D,"Ahmed Hamdy",'Time Log'!C:C,"September")</f>
        <v>0</v>
      </c>
      <c r="I6" s="12" t="n">
        <f aca="false">SUMIFS('Time Log'!H:H,'Time Log'!D:D,"Ahmed Hamdy",'Time Log'!C:C,"October")</f>
        <v>0</v>
      </c>
      <c r="J6" s="12" t="n">
        <f aca="false">SUMIFS('Time Log'!H:H,'Time Log'!D:D,"Ahmed Hamdy",'Time Log'!C:C,"November")</f>
        <v>0</v>
      </c>
      <c r="K6" s="12" t="n">
        <f aca="false">SUMIFS('Time Log'!H:H,'Time Log'!D:D,"Ahmed Hamdy",'Time Log'!C:C,"December")</f>
        <v>0</v>
      </c>
      <c r="L6" s="12" t="n">
        <f aca="false">SUMIFS('Time Log'!H:H,'Time Log'!D:D,"Ahmed Hamdy",'Time Log'!C:C,"January")</f>
        <v>0</v>
      </c>
      <c r="M6" s="12" t="n">
        <f aca="false">SUMIFS('Time Log'!H:H,'Time Log'!D:D,"Ahmed Hamdy",'Time Log'!C:C,"February")</f>
        <v>0</v>
      </c>
    </row>
    <row r="7" customFormat="false" ht="15" hidden="false" customHeight="true" outlineLevel="0" collapsed="false">
      <c r="A7" s="13" t="s">
        <v>21</v>
      </c>
      <c r="B7" s="14" t="n">
        <f aca="false">SUMIFS('Time Log'!H:H,'Time Log'!D:D,"Yasseen Nouh",'Time Log'!C:C,"March")</f>
        <v>0</v>
      </c>
      <c r="C7" s="14" t="n">
        <f aca="false">SUMIFS('Time Log'!H:H,'Time Log'!D:D,"Yasseen Nouh",'Time Log'!C:C,"April")</f>
        <v>0</v>
      </c>
      <c r="D7" s="14" t="n">
        <f aca="false">SUMIFS('Time Log'!H:H,'Time Log'!D:D,"Yasseen Nouh",'Time Log'!C:C,"May")</f>
        <v>2800</v>
      </c>
      <c r="E7" s="14" t="n">
        <f aca="false">SUMIFS('Time Log'!H:H,'Time Log'!D:D,"Yasseen Nouh",'Time Log'!C:C,"June")</f>
        <v>0</v>
      </c>
      <c r="F7" s="14" t="n">
        <f aca="false">SUMIFS('Time Log'!H:H,'Time Log'!D:D,"Yasseen Nouh",'Time Log'!C:C,"July")</f>
        <v>3150</v>
      </c>
      <c r="G7" s="14" t="n">
        <f aca="false">SUMIFS('Time Log'!H:H,'Time Log'!D:D,"Yasseen Nouh",'Time Log'!C:C,"August")</f>
        <v>10500</v>
      </c>
      <c r="H7" s="14" t="n">
        <f aca="false">SUMIFS('Time Log'!H:H,'Time Log'!D:D,"Yasseen Nouh",'Time Log'!C:C,"September")</f>
        <v>23166.5</v>
      </c>
      <c r="I7" s="14" t="n">
        <f aca="false">SUMIFS('Time Log'!H:H,'Time Log'!D:D,"Yasseen Nouh",'Time Log'!C:C,"October")</f>
        <v>16100</v>
      </c>
      <c r="J7" s="14" t="n">
        <f aca="false">SUMIFS('Time Log'!H:H,'Time Log'!D:D,"Yasseen Nouh",'Time Log'!C:C,"November")</f>
        <v>5600</v>
      </c>
      <c r="K7" s="14" t="n">
        <f aca="false">SUMIFS('Time Log'!H:H,'Time Log'!D:D,"Yasseen Nouh",'Time Log'!C:C,"December")</f>
        <v>14350</v>
      </c>
      <c r="L7" s="14" t="n">
        <f aca="false">SUMIFS('Time Log'!H:H,'Time Log'!D:D,"Yasseen Nouh",'Time Log'!C:C,"January")</f>
        <v>9485</v>
      </c>
      <c r="M7" s="14" t="n">
        <f aca="false">SUMIFS('Time Log'!H:H,'Time Log'!D:D,"Yasseen Nouh",'Time Log'!C:C,"February")</f>
        <v>32252.5</v>
      </c>
    </row>
    <row r="8" customFormat="false" ht="15" hidden="false" customHeight="true" outlineLevel="0" collapsed="false">
      <c r="A8" s="11" t="s">
        <v>22</v>
      </c>
      <c r="B8" s="12" t="n">
        <f aca="false">SUMIFS('Time Log'!H:H,'Time Log'!D:D,"Amr Tarek",'Time Log'!C:C,"March")</f>
        <v>0</v>
      </c>
      <c r="C8" s="12" t="n">
        <f aca="false">SUMIFS('Time Log'!H:H,'Time Log'!D:D,"Amr Tarek",'Time Log'!C:C,"April")</f>
        <v>0</v>
      </c>
      <c r="D8" s="12" t="n">
        <f aca="false">SUMIFS('Time Log'!H:H,'Time Log'!D:D,"Amr Tarek",'Time Log'!C:C,"May")</f>
        <v>0</v>
      </c>
      <c r="E8" s="12" t="n">
        <f aca="false">SUMIFS('Time Log'!H:H,'Time Log'!D:D,"Amr Tarek",'Time Log'!C:C,"June")</f>
        <v>0</v>
      </c>
      <c r="F8" s="12" t="n">
        <f aca="false">SUMIFS('Time Log'!H:H,'Time Log'!D:D,"Amr Tarek",'Time Log'!C:C,"July")</f>
        <v>4620</v>
      </c>
      <c r="G8" s="12" t="n">
        <f aca="false">SUMIFS('Time Log'!H:H,'Time Log'!D:D,"Amr Tarek",'Time Log'!C:C,"August")</f>
        <v>19687.5</v>
      </c>
      <c r="H8" s="12" t="n">
        <f aca="false">SUMIFS('Time Log'!H:H,'Time Log'!D:D,"Amr Tarek",'Time Log'!C:C,"September")</f>
        <v>25200</v>
      </c>
      <c r="I8" s="12" t="n">
        <f aca="false">SUMIFS('Time Log'!H:H,'Time Log'!D:D,"Amr Tarek",'Time Log'!C:C,"October")</f>
        <v>23625</v>
      </c>
      <c r="J8" s="12" t="n">
        <f aca="false">SUMIFS('Time Log'!H:H,'Time Log'!D:D,"Amr Tarek",'Time Log'!C:C,"November")</f>
        <v>23012.5</v>
      </c>
      <c r="K8" s="12" t="n">
        <f aca="false">SUMIFS('Time Log'!H:H,'Time Log'!D:D,"Amr Tarek",'Time Log'!C:C,"December")</f>
        <v>26999</v>
      </c>
      <c r="L8" s="12" t="n">
        <f aca="false">SUMIFS('Time Log'!H:H,'Time Log'!D:D,"Amr Tarek",'Time Log'!C:C,"January")</f>
        <v>23100</v>
      </c>
      <c r="M8" s="12" t="n">
        <f aca="false">SUMIFS('Time Log'!H:H,'Time Log'!D:D,"Amr Tarek",'Time Log'!C:C,"February")</f>
        <v>19302.5</v>
      </c>
    </row>
    <row r="9" customFormat="false" ht="15" hidden="false" customHeight="true" outlineLevel="0" collapsed="false">
      <c r="A9" s="13" t="s">
        <v>23</v>
      </c>
      <c r="B9" s="14" t="n">
        <f aca="false">SUMIFS('Time Log'!H:H,'Time Log'!D:D,"Tarek Mohamed",'Time Log'!C:C,"March")</f>
        <v>0</v>
      </c>
      <c r="C9" s="14" t="n">
        <f aca="false">SUMIFS('Time Log'!H:H,'Time Log'!D:D,"Tarek Mohamed",'Time Log'!C:C,"April")</f>
        <v>0</v>
      </c>
      <c r="D9" s="14" t="n">
        <f aca="false">SUMIFS('Time Log'!H:H,'Time Log'!D:D,"Tarek Mohamed",'Time Log'!C:C,"May")</f>
        <v>0</v>
      </c>
      <c r="E9" s="14" t="n">
        <f aca="false">SUMIFS('Time Log'!H:H,'Time Log'!D:D,"Tarek Mohamed",'Time Log'!C:C,"June")</f>
        <v>0</v>
      </c>
      <c r="F9" s="14" t="n">
        <f aca="false">SUMIFS('Time Log'!H:H,'Time Log'!D:D,"Tarek Mohamed",'Time Log'!C:C,"July")</f>
        <v>0</v>
      </c>
      <c r="G9" s="14" t="n">
        <f aca="false">SUMIFS('Time Log'!H:H,'Time Log'!D:D,"Tarek Mohamed",'Time Log'!C:C,"August")</f>
        <v>0</v>
      </c>
      <c r="H9" s="14" t="n">
        <f aca="false">SUMIFS('Time Log'!H:H,'Time Log'!D:D,"Tarek Mohamed",'Time Log'!C:C,"September")</f>
        <v>928.5</v>
      </c>
      <c r="I9" s="14" t="n">
        <f aca="false">SUMIFS('Time Log'!H:H,'Time Log'!D:D,"Tarek Mohamed",'Time Log'!C:C,"October")</f>
        <v>5895</v>
      </c>
      <c r="J9" s="14" t="n">
        <f aca="false">SUMIFS('Time Log'!H:H,'Time Log'!D:D,"Tarek Mohamed",'Time Log'!C:C,"November")</f>
        <v>3825</v>
      </c>
      <c r="K9" s="14" t="n">
        <f aca="false">SUMIFS('Time Log'!H:H,'Time Log'!D:D,"Tarek Mohamed",'Time Log'!C:C,"December")</f>
        <v>3750</v>
      </c>
      <c r="L9" s="14" t="n">
        <f aca="false">SUMIFS('Time Log'!H:H,'Time Log'!D:D,"Tarek Mohamed",'Time Log'!C:C,"January")</f>
        <v>3300</v>
      </c>
      <c r="M9" s="14" t="n">
        <f aca="false">SUMIFS('Time Log'!H:H,'Time Log'!D:D,"Tarek Mohamed",'Time Log'!C:C,"February")</f>
        <v>2812.5</v>
      </c>
    </row>
    <row r="10" customFormat="false" ht="15" hidden="false" customHeight="true" outlineLevel="0" collapsed="false">
      <c r="A10" s="11" t="s">
        <v>24</v>
      </c>
      <c r="B10" s="12" t="n">
        <f aca="false">SUMIFS('Time Log'!H:H,'Time Log'!D:D,"Amal Hamdy",'Time Log'!C:C,"March")</f>
        <v>0</v>
      </c>
      <c r="C10" s="12" t="n">
        <f aca="false">SUMIFS('Time Log'!H:H,'Time Log'!D:D,"Amal Hamdy",'Time Log'!C:C,"April")</f>
        <v>0</v>
      </c>
      <c r="D10" s="12" t="n">
        <f aca="false">SUMIFS('Time Log'!H:H,'Time Log'!D:D,"Amal Hamdy",'Time Log'!C:C,"May")</f>
        <v>0</v>
      </c>
      <c r="E10" s="12" t="n">
        <f aca="false">SUMIFS('Time Log'!H:H,'Time Log'!D:D,"Amal Hamdy",'Time Log'!C:C,"June")</f>
        <v>0</v>
      </c>
      <c r="F10" s="12" t="n">
        <f aca="false">SUMIFS('Time Log'!H:H,'Time Log'!D:D,"Amal Hamdy",'Time Log'!C:C,"July")</f>
        <v>0</v>
      </c>
      <c r="G10" s="12" t="n">
        <f aca="false">SUMIFS('Time Log'!H:H,'Time Log'!D:D,"Amal Hamdy",'Time Log'!C:C,"August")</f>
        <v>0</v>
      </c>
      <c r="H10" s="12" t="n">
        <f aca="false">SUMIFS('Time Log'!H:H,'Time Log'!D:D,"Amal Hamdy",'Time Log'!C:C,"September")</f>
        <v>4000</v>
      </c>
      <c r="I10" s="12" t="n">
        <f aca="false">SUMIFS('Time Log'!H:H,'Time Log'!D:D,"Amal Hamdy",'Time Log'!C:C,"October")</f>
        <v>6000</v>
      </c>
      <c r="J10" s="12" t="n">
        <f aca="false">SUMIFS('Time Log'!H:H,'Time Log'!D:D,"Amal Hamdy",'Time Log'!C:C,"November")</f>
        <v>6000</v>
      </c>
      <c r="K10" s="12" t="n">
        <f aca="false">SUMIFS('Time Log'!H:H,'Time Log'!D:D,"Amal Hamdy",'Time Log'!C:C,"December")</f>
        <v>6000</v>
      </c>
      <c r="L10" s="12" t="n">
        <f aca="false">SUMIFS('Time Log'!H:H,'Time Log'!D:D,"Amal Hamdy",'Time Log'!C:C,"January")</f>
        <v>6000</v>
      </c>
      <c r="M10" s="12" t="n">
        <f aca="false">SUMIFS('Time Log'!H:H,'Time Log'!D:D,"Amal Hamdy",'Time Log'!C:C,"February")</f>
        <v>6000</v>
      </c>
    </row>
    <row r="11" customFormat="false" ht="15" hidden="false" customHeight="true" outlineLevel="0" collapsed="false">
      <c r="A11" s="13" t="s">
        <v>26</v>
      </c>
      <c r="B11" s="14" t="n">
        <f aca="false">SUMIFS('Time Log'!H:H,'Time Log'!D:D,"Anas Emad",'Time Log'!C:C,"March")</f>
        <v>0</v>
      </c>
      <c r="C11" s="14" t="n">
        <f aca="false">SUMIFS('Time Log'!H:H,'Time Log'!D:D,"Anas Emad",'Time Log'!C:C,"April")</f>
        <v>0</v>
      </c>
      <c r="D11" s="14" t="n">
        <f aca="false">SUMIFS('Time Log'!H:H,'Time Log'!D:D,"Anas Emad",'Time Log'!C:C,"May")</f>
        <v>0</v>
      </c>
      <c r="E11" s="14" t="n">
        <f aca="false">SUMIFS('Time Log'!H:H,'Time Log'!D:D,"Anas Emad",'Time Log'!C:C,"June")</f>
        <v>0</v>
      </c>
      <c r="F11" s="14" t="n">
        <f aca="false">SUMIFS('Time Log'!H:H,'Time Log'!D:D,"Anas Emad",'Time Log'!C:C,"July")</f>
        <v>0</v>
      </c>
      <c r="G11" s="14" t="n">
        <f aca="false">SUMIFS('Time Log'!H:H,'Time Log'!D:D,"Anas Emad",'Time Log'!C:C,"August")</f>
        <v>0</v>
      </c>
      <c r="H11" s="14" t="n">
        <f aca="false">SUMIFS('Time Log'!H:H,'Time Log'!D:D,"Anas Emad",'Time Log'!C:C,"September")</f>
        <v>0</v>
      </c>
      <c r="I11" s="14" t="n">
        <f aca="false">SUMIFS('Time Log'!H:H,'Time Log'!D:D,"Anas Emad",'Time Log'!C:C,"October")</f>
        <v>0</v>
      </c>
      <c r="J11" s="14" t="n">
        <f aca="false">SUMIFS('Time Log'!H:H,'Time Log'!D:D,"Anas Emad",'Time Log'!C:C,"November")</f>
        <v>0</v>
      </c>
      <c r="K11" s="14" t="n">
        <f aca="false">SUMIFS('Time Log'!H:H,'Time Log'!D:D,"Anas Emad",'Time Log'!C:C,"December")</f>
        <v>12500</v>
      </c>
      <c r="L11" s="14" t="n">
        <f aca="false">SUMIFS('Time Log'!H:H,'Time Log'!D:D,"Anas Emad",'Time Log'!C:C,"January")</f>
        <v>16870.75</v>
      </c>
      <c r="M11" s="14" t="n">
        <f aca="false">SUMIFS('Time Log'!H:H,'Time Log'!D:D,"Anas Emad",'Time Log'!C:C,"February")</f>
        <v>12000</v>
      </c>
    </row>
    <row r="12" customFormat="false" ht="15" hidden="false" customHeight="true" outlineLevel="0" collapsed="false">
      <c r="A12" s="11" t="s">
        <v>29</v>
      </c>
      <c r="B12" s="12" t="n">
        <f aca="false">SUMIFS('Time Log'!H:H,'Time Log'!D:D,"Bahaa Mohamed",'Time Log'!C:C,"March")</f>
        <v>0</v>
      </c>
      <c r="C12" s="12" t="n">
        <f aca="false">SUMIFS('Time Log'!H:H,'Time Log'!D:D,"Bahaa Mohamed",'Time Log'!C:C,"April")</f>
        <v>0</v>
      </c>
      <c r="D12" s="12" t="n">
        <f aca="false">SUMIFS('Time Log'!H:H,'Time Log'!D:D,"Bahaa Mohamed",'Time Log'!C:C,"May")</f>
        <v>0</v>
      </c>
      <c r="E12" s="12" t="n">
        <f aca="false">SUMIFS('Time Log'!H:H,'Time Log'!D:D,"Bahaa Mohamed",'Time Log'!C:C,"June")</f>
        <v>0</v>
      </c>
      <c r="F12" s="12" t="n">
        <f aca="false">SUMIFS('Time Log'!H:H,'Time Log'!D:D,"Bahaa Mohamed",'Time Log'!C:C,"July")</f>
        <v>0</v>
      </c>
      <c r="G12" s="12" t="n">
        <f aca="false">SUMIFS('Time Log'!H:H,'Time Log'!D:D,"Bahaa Mohamed",'Time Log'!C:C,"August")</f>
        <v>0</v>
      </c>
      <c r="H12" s="12" t="n">
        <f aca="false">SUMIFS('Time Log'!H:H,'Time Log'!D:D,"Bahaa Mohamed",'Time Log'!C:C,"September")</f>
        <v>0</v>
      </c>
      <c r="I12" s="12" t="n">
        <f aca="false">SUMIFS('Time Log'!H:H,'Time Log'!D:D,"Bahaa Mohamed",'Time Log'!C:C,"October")</f>
        <v>0</v>
      </c>
      <c r="J12" s="12" t="n">
        <f aca="false">SUMIFS('Time Log'!H:H,'Time Log'!D:D,"Bahaa Mohamed",'Time Log'!C:C,"November")</f>
        <v>0</v>
      </c>
      <c r="K12" s="12" t="n">
        <f aca="false">SUMIFS('Time Log'!H:H,'Time Log'!D:D,"Bahaa Mohamed",'Time Log'!C:C,"December")</f>
        <v>0</v>
      </c>
      <c r="L12" s="12" t="n">
        <f aca="false">SUMIFS('Time Log'!H:H,'Time Log'!D:D,"Bahaa Mohamed",'Time Log'!C:C,"January")</f>
        <v>0</v>
      </c>
      <c r="M12" s="12" t="n">
        <f aca="false">SUMIFS('Time Log'!H:H,'Time Log'!D:D,"Bahaa Mohamed",'Time Log'!C:C,"February")</f>
        <v>16363.64</v>
      </c>
    </row>
    <row r="13" customFormat="false" ht="15" hidden="false" customHeight="true" outlineLevel="0" collapsed="false">
      <c r="A13" s="15" t="s">
        <v>63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customFormat="false" ht="15" hidden="false" customHeight="true" outlineLevel="0" collapsed="false">
      <c r="A14" s="11" t="s">
        <v>64</v>
      </c>
      <c r="B14" s="17" t="n">
        <v>1140</v>
      </c>
      <c r="C14" s="17" t="n">
        <v>1140</v>
      </c>
      <c r="D14" s="17" t="n">
        <v>1140</v>
      </c>
      <c r="E14" s="17" t="n">
        <v>1140</v>
      </c>
      <c r="F14" s="17" t="n">
        <v>1140</v>
      </c>
      <c r="G14" s="17" t="n">
        <v>1140</v>
      </c>
      <c r="H14" s="17" t="n">
        <v>1140</v>
      </c>
      <c r="I14" s="17" t="n">
        <v>1140</v>
      </c>
      <c r="J14" s="17" t="n">
        <v>1140</v>
      </c>
      <c r="K14" s="17" t="n">
        <v>1140</v>
      </c>
      <c r="L14" s="17" t="n">
        <v>0</v>
      </c>
      <c r="M14" s="17" t="n">
        <v>0</v>
      </c>
    </row>
    <row r="15" customFormat="false" ht="15" hidden="false" customHeight="true" outlineLevel="0" collapsed="false">
      <c r="A15" s="13" t="s">
        <v>65</v>
      </c>
      <c r="B15" s="18" t="n">
        <v>0</v>
      </c>
      <c r="C15" s="18" t="n">
        <v>2500</v>
      </c>
      <c r="D15" s="18" t="n">
        <v>2500</v>
      </c>
      <c r="E15" s="18" t="n">
        <v>5000</v>
      </c>
      <c r="F15" s="18" t="n">
        <v>5000</v>
      </c>
      <c r="G15" s="18" t="n">
        <v>5000</v>
      </c>
      <c r="H15" s="18" t="n">
        <v>5000</v>
      </c>
      <c r="I15" s="18" t="n">
        <v>10000</v>
      </c>
      <c r="J15" s="18" t="n">
        <v>12500</v>
      </c>
      <c r="K15" s="18" t="n">
        <v>12500</v>
      </c>
      <c r="L15" s="18" t="n">
        <v>15000</v>
      </c>
      <c r="M15" s="18" t="n">
        <v>15000</v>
      </c>
    </row>
    <row r="16" customFormat="false" ht="15" hidden="false" customHeight="true" outlineLevel="0" collapsed="false">
      <c r="A16" s="11" t="s">
        <v>66</v>
      </c>
      <c r="B16" s="17" t="n">
        <v>0</v>
      </c>
      <c r="C16" s="17" t="n">
        <v>0</v>
      </c>
      <c r="D16" s="17" t="n">
        <v>0</v>
      </c>
      <c r="E16" s="17" t="n">
        <v>1100</v>
      </c>
      <c r="F16" s="17" t="n">
        <v>1100</v>
      </c>
      <c r="G16" s="17" t="n">
        <v>1100</v>
      </c>
      <c r="H16" s="17" t="n">
        <v>1100</v>
      </c>
      <c r="I16" s="17" t="n">
        <v>1100</v>
      </c>
      <c r="J16" s="17" t="n">
        <v>1100</v>
      </c>
      <c r="K16" s="17" t="n">
        <v>1100</v>
      </c>
      <c r="L16" s="17" t="n">
        <v>1100</v>
      </c>
      <c r="M16" s="17" t="n">
        <v>1100</v>
      </c>
    </row>
    <row r="17" customFormat="false" ht="15" hidden="false" customHeight="true" outlineLevel="0" collapsed="false">
      <c r="A17" s="13" t="s">
        <v>67</v>
      </c>
      <c r="B17" s="18" t="n">
        <v>500</v>
      </c>
      <c r="C17" s="18" t="n">
        <v>500</v>
      </c>
      <c r="D17" s="18" t="n">
        <v>500</v>
      </c>
      <c r="E17" s="18" t="n">
        <v>500</v>
      </c>
      <c r="F17" s="18" t="n">
        <v>500</v>
      </c>
      <c r="G17" s="18" t="n">
        <v>500</v>
      </c>
      <c r="H17" s="18" t="n">
        <v>500</v>
      </c>
      <c r="I17" s="18" t="n">
        <v>500</v>
      </c>
      <c r="J17" s="18" t="n">
        <v>500</v>
      </c>
      <c r="K17" s="18" t="n">
        <v>500</v>
      </c>
      <c r="L17" s="18" t="n">
        <v>500</v>
      </c>
      <c r="M17" s="18" t="n">
        <v>500</v>
      </c>
    </row>
    <row r="18" customFormat="false" ht="15" hidden="false" customHeight="true" outlineLevel="0" collapsed="false">
      <c r="A18" s="11" t="s">
        <v>68</v>
      </c>
      <c r="B18" s="17" t="n">
        <v>500</v>
      </c>
      <c r="C18" s="17" t="n">
        <v>500</v>
      </c>
      <c r="D18" s="17" t="n">
        <v>500</v>
      </c>
      <c r="E18" s="17" t="n">
        <v>500</v>
      </c>
      <c r="F18" s="17" t="n">
        <v>500</v>
      </c>
      <c r="G18" s="17" t="n">
        <v>500</v>
      </c>
      <c r="H18" s="17" t="n">
        <v>500</v>
      </c>
      <c r="I18" s="17" t="n">
        <v>500</v>
      </c>
      <c r="J18" s="17" t="n">
        <v>500</v>
      </c>
      <c r="K18" s="17" t="n">
        <v>500</v>
      </c>
      <c r="L18" s="17" t="n">
        <v>500</v>
      </c>
      <c r="M18" s="17" t="n">
        <v>500</v>
      </c>
    </row>
    <row r="19" customFormat="false" ht="15" hidden="false" customHeight="true" outlineLevel="0" collapsed="false">
      <c r="A19" s="13" t="s">
        <v>69</v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2500</v>
      </c>
      <c r="L19" s="18" t="n">
        <v>0</v>
      </c>
      <c r="M19" s="18" t="n">
        <v>0</v>
      </c>
    </row>
    <row r="20" customFormat="false" ht="15" hidden="false" customHeight="true" outlineLevel="0" collapsed="false">
      <c r="A20" s="11" t="s">
        <v>70</v>
      </c>
      <c r="B20" s="17" t="n">
        <v>7000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2750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</row>
    <row r="21" customFormat="false" ht="15" hidden="false" customHeight="true" outlineLevel="0" collapsed="false">
      <c r="A21" s="15" t="s">
        <v>71</v>
      </c>
      <c r="B21" s="19" t="n">
        <f aca="false">SUM(B14:B20)</f>
        <v>9140</v>
      </c>
      <c r="C21" s="19" t="n">
        <f aca="false">SUM(C14:C20)</f>
        <v>4640</v>
      </c>
      <c r="D21" s="19" t="n">
        <f aca="false">SUM(D14:D20)</f>
        <v>4640</v>
      </c>
      <c r="E21" s="19" t="n">
        <f aca="false">SUM(E14:E20)</f>
        <v>8240</v>
      </c>
      <c r="F21" s="19" t="n">
        <f aca="false">SUM(F14:F20)</f>
        <v>8240</v>
      </c>
      <c r="G21" s="19" t="n">
        <f aca="false">SUM(G14:G20)</f>
        <v>10990</v>
      </c>
      <c r="H21" s="19" t="n">
        <f aca="false">SUM(H14:H20)</f>
        <v>8240</v>
      </c>
      <c r="I21" s="19" t="n">
        <f aca="false">SUM(I14:I20)</f>
        <v>13240</v>
      </c>
      <c r="J21" s="19" t="n">
        <f aca="false">SUM(J14:J20)</f>
        <v>15740</v>
      </c>
      <c r="K21" s="19" t="n">
        <f aca="false">SUM(K14:K20)</f>
        <v>18240</v>
      </c>
      <c r="L21" s="19" t="n">
        <f aca="false">SUM(L14:L20)</f>
        <v>17100</v>
      </c>
      <c r="M21" s="19" t="n">
        <f aca="false">SUM(M14:M20)</f>
        <v>17100</v>
      </c>
    </row>
    <row r="22" customFormat="false" ht="15" hidden="false" customHeight="true" outlineLevel="0" collapsed="false">
      <c r="A22" s="20" t="s">
        <v>72</v>
      </c>
      <c r="B22" s="21" t="n">
        <f aca="false">SUM(B2:B12)</f>
        <v>3862.5</v>
      </c>
      <c r="C22" s="21" t="n">
        <f aca="false">SUM(C2:C12)</f>
        <v>10675</v>
      </c>
      <c r="D22" s="21" t="n">
        <f aca="false">SUM(D2:D12)</f>
        <v>15282</v>
      </c>
      <c r="E22" s="21" t="n">
        <f aca="false">SUM(E2:E12)</f>
        <v>1296</v>
      </c>
      <c r="F22" s="21" t="n">
        <f aca="false">SUM(F2:F12)</f>
        <v>13107.5</v>
      </c>
      <c r="G22" s="21" t="n">
        <f aca="false">SUM(G2:G12)</f>
        <v>32709</v>
      </c>
      <c r="H22" s="21" t="n">
        <f aca="false">SUM(H2:H12)</f>
        <v>66600</v>
      </c>
      <c r="I22" s="21" t="n">
        <f aca="false">SUM(I2:I12)</f>
        <v>59947.5</v>
      </c>
      <c r="J22" s="21" t="n">
        <f aca="false">SUM(J2:J12)</f>
        <v>52087.5</v>
      </c>
      <c r="K22" s="21" t="n">
        <f aca="false">SUM(K2:K12)</f>
        <v>69049</v>
      </c>
      <c r="L22" s="21" t="n">
        <f aca="false">SUM(L2:L12)</f>
        <v>71155.75</v>
      </c>
      <c r="M22" s="21" t="n">
        <f aca="false">SUM(M2:M12)</f>
        <v>92158.64</v>
      </c>
    </row>
    <row r="23" customFormat="false" ht="15" hidden="false" customHeight="true" outlineLevel="0" collapsed="false">
      <c r="A23" s="22" t="s">
        <v>73</v>
      </c>
      <c r="B23" s="23" t="n">
        <f aca="false">B22+B21</f>
        <v>13002.5</v>
      </c>
      <c r="C23" s="23" t="n">
        <f aca="false">C22+C21</f>
        <v>15315</v>
      </c>
      <c r="D23" s="23" t="n">
        <f aca="false">D22+D21</f>
        <v>19922</v>
      </c>
      <c r="E23" s="23" t="n">
        <f aca="false">E22+E21</f>
        <v>9536</v>
      </c>
      <c r="F23" s="23" t="n">
        <f aca="false">F22+F21</f>
        <v>21347.5</v>
      </c>
      <c r="G23" s="23" t="n">
        <f aca="false">G22+G21</f>
        <v>43699</v>
      </c>
      <c r="H23" s="23" t="n">
        <f aca="false">H22+H21</f>
        <v>74840</v>
      </c>
      <c r="I23" s="23" t="n">
        <f aca="false">I22+I21</f>
        <v>73187.5</v>
      </c>
      <c r="J23" s="23" t="n">
        <f aca="false">J22+J21</f>
        <v>67827.5</v>
      </c>
      <c r="K23" s="23" t="n">
        <f aca="false">K22+K21</f>
        <v>87289</v>
      </c>
      <c r="L23" s="23" t="n">
        <f aca="false">L22+L21</f>
        <v>88255.75</v>
      </c>
      <c r="M23" s="23" t="n">
        <f aca="false">M22+M21</f>
        <v>109258.64</v>
      </c>
    </row>
    <row r="24" customFormat="false" ht="15" hidden="false" customHeight="true" outlineLevel="0" collapsed="false">
      <c r="A24" s="20" t="s">
        <v>74</v>
      </c>
      <c r="B24" s="21" t="n">
        <f aca="false">B23</f>
        <v>13002.5</v>
      </c>
      <c r="C24" s="21" t="n">
        <f aca="false">B24+C23</f>
        <v>28317.5</v>
      </c>
      <c r="D24" s="21" t="n">
        <f aca="false">C24+D23</f>
        <v>48239.5</v>
      </c>
      <c r="E24" s="21" t="n">
        <f aca="false">D24+E23</f>
        <v>57775.5</v>
      </c>
      <c r="F24" s="21" t="n">
        <f aca="false">E24+F23</f>
        <v>79123</v>
      </c>
      <c r="G24" s="21" t="n">
        <f aca="false">F24+G23</f>
        <v>122822</v>
      </c>
      <c r="H24" s="21" t="n">
        <f aca="false">G24+H23</f>
        <v>197662</v>
      </c>
      <c r="I24" s="21" t="n">
        <f aca="false">H24+I23</f>
        <v>270849.5</v>
      </c>
      <c r="J24" s="21" t="n">
        <f aca="false">I24+J23</f>
        <v>338677</v>
      </c>
      <c r="K24" s="21" t="n">
        <f aca="false">J24+K23</f>
        <v>425966</v>
      </c>
      <c r="L24" s="21" t="n">
        <f aca="false">K24+L23</f>
        <v>514221.75</v>
      </c>
      <c r="M24" s="21" t="n">
        <f aca="false">L24+M23</f>
        <v>623480.39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14" min="3" style="1" width="14"/>
  </cols>
  <sheetData>
    <row r="1" customFormat="false" ht="26.25" hidden="false" customHeight="true" outlineLevel="0" collapsed="false">
      <c r="A1" s="2" t="s">
        <v>0</v>
      </c>
      <c r="B1" s="2" t="s">
        <v>75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</row>
    <row r="2" customFormat="false" ht="15" hidden="false" customHeight="true" outlineLevel="0" collapsed="false">
      <c r="A2" s="11" t="s">
        <v>24</v>
      </c>
      <c r="B2" s="24" t="n">
        <v>6000</v>
      </c>
      <c r="C2" s="12" t="n">
        <f aca="false">SUMIFS('Time Log'!H:H,'Time Log'!D:D,"Amal Hamdy",'Time Log'!C:C,"March")</f>
        <v>0</v>
      </c>
      <c r="D2" s="12" t="n">
        <f aca="false">SUMIFS('Time Log'!H:H,'Time Log'!D:D,"Amal Hamdy",'Time Log'!C:C,"April")</f>
        <v>0</v>
      </c>
      <c r="E2" s="12" t="n">
        <f aca="false">SUMIFS('Time Log'!H:H,'Time Log'!D:D,"Amal Hamdy",'Time Log'!C:C,"May")</f>
        <v>0</v>
      </c>
      <c r="F2" s="12" t="n">
        <f aca="false">SUMIFS('Time Log'!H:H,'Time Log'!D:D,"Amal Hamdy",'Time Log'!C:C,"June")</f>
        <v>0</v>
      </c>
      <c r="G2" s="12" t="n">
        <f aca="false">SUMIFS('Time Log'!H:H,'Time Log'!D:D,"Amal Hamdy",'Time Log'!C:C,"July")</f>
        <v>0</v>
      </c>
      <c r="H2" s="12" t="n">
        <f aca="false">SUMIFS('Time Log'!H:H,'Time Log'!D:D,"Amal Hamdy",'Time Log'!C:C,"August")</f>
        <v>0</v>
      </c>
      <c r="I2" s="12" t="n">
        <f aca="false">SUMIFS('Time Log'!H:H,'Time Log'!D:D,"Amal Hamdy",'Time Log'!C:C,"September")</f>
        <v>4000</v>
      </c>
      <c r="J2" s="12" t="n">
        <f aca="false">SUMIFS('Time Log'!H:H,'Time Log'!D:D,"Amal Hamdy",'Time Log'!C:C,"October")</f>
        <v>6000</v>
      </c>
      <c r="K2" s="12" t="n">
        <f aca="false">SUMIFS('Time Log'!H:H,'Time Log'!D:D,"Amal Hamdy",'Time Log'!C:C,"November")</f>
        <v>6000</v>
      </c>
      <c r="L2" s="12" t="n">
        <f aca="false">SUMIFS('Time Log'!H:H,'Time Log'!D:D,"Amal Hamdy",'Time Log'!C:C,"December")</f>
        <v>6000</v>
      </c>
      <c r="M2" s="12" t="n">
        <f aca="false">SUMIFS('Time Log'!H:H,'Time Log'!D:D,"Amal Hamdy",'Time Log'!C:C,"January")</f>
        <v>6000</v>
      </c>
      <c r="N2" s="12" t="n">
        <f aca="false">SUMIFS('Time Log'!H:H,'Time Log'!D:D,"Amal Hamdy",'Time Log'!C:C,"February")</f>
        <v>6000</v>
      </c>
    </row>
    <row r="3" customFormat="false" ht="15" hidden="false" customHeight="true" outlineLevel="0" collapsed="false">
      <c r="A3" s="13" t="s">
        <v>26</v>
      </c>
      <c r="B3" s="25" t="n">
        <v>12000</v>
      </c>
      <c r="C3" s="14" t="n">
        <f aca="false">SUMIFS('Time Log'!H:H,'Time Log'!D:D,"Anas Emad",'Time Log'!C:C,"March")</f>
        <v>0</v>
      </c>
      <c r="D3" s="14" t="n">
        <f aca="false">SUMIFS('Time Log'!H:H,'Time Log'!D:D,"Anas Emad",'Time Log'!C:C,"April")</f>
        <v>0</v>
      </c>
      <c r="E3" s="14" t="n">
        <f aca="false">SUMIFS('Time Log'!H:H,'Time Log'!D:D,"Anas Emad",'Time Log'!C:C,"May")</f>
        <v>0</v>
      </c>
      <c r="F3" s="14" t="n">
        <f aca="false">SUMIFS('Time Log'!H:H,'Time Log'!D:D,"Anas Emad",'Time Log'!C:C,"June")</f>
        <v>0</v>
      </c>
      <c r="G3" s="14" t="n">
        <f aca="false">SUMIFS('Time Log'!H:H,'Time Log'!D:D,"Anas Emad",'Time Log'!C:C,"July")</f>
        <v>0</v>
      </c>
      <c r="H3" s="14" t="n">
        <f aca="false">SUMIFS('Time Log'!H:H,'Time Log'!D:D,"Anas Emad",'Time Log'!C:C,"August")</f>
        <v>0</v>
      </c>
      <c r="I3" s="14" t="n">
        <f aca="false">SUMIFS('Time Log'!H:H,'Time Log'!D:D,"Anas Emad",'Time Log'!C:C,"September")</f>
        <v>0</v>
      </c>
      <c r="J3" s="14" t="n">
        <f aca="false">SUMIFS('Time Log'!H:H,'Time Log'!D:D,"Anas Emad",'Time Log'!C:C,"October")</f>
        <v>0</v>
      </c>
      <c r="K3" s="14" t="n">
        <f aca="false">SUMIFS('Time Log'!H:H,'Time Log'!D:D,"Anas Emad",'Time Log'!C:C,"November")</f>
        <v>0</v>
      </c>
      <c r="L3" s="14" t="n">
        <f aca="false">SUMIFS('Time Log'!H:H,'Time Log'!D:D,"Anas Emad",'Time Log'!C:C,"December")</f>
        <v>12500</v>
      </c>
      <c r="M3" s="14" t="n">
        <f aca="false">SUMIFS('Time Log'!H:H,'Time Log'!D:D,"Anas Emad",'Time Log'!C:C,"January")</f>
        <v>16870.75</v>
      </c>
      <c r="N3" s="14" t="n">
        <f aca="false">SUMIFS('Time Log'!H:H,'Time Log'!D:D,"Anas Emad",'Time Log'!C:C,"February")</f>
        <v>12000</v>
      </c>
    </row>
    <row r="4" customFormat="false" ht="15" hidden="false" customHeight="true" outlineLevel="0" collapsed="false">
      <c r="A4" s="11" t="s">
        <v>29</v>
      </c>
      <c r="B4" s="24" t="n">
        <v>30000</v>
      </c>
      <c r="C4" s="12" t="n">
        <f aca="false">SUMIFS('Time Log'!H:H,'Time Log'!D:D,"Bahaa Mohamed",'Time Log'!C:C,"March")</f>
        <v>0</v>
      </c>
      <c r="D4" s="12" t="n">
        <f aca="false">SUMIFS('Time Log'!H:H,'Time Log'!D:D,"Bahaa Mohamed",'Time Log'!C:C,"April")</f>
        <v>0</v>
      </c>
      <c r="E4" s="12" t="n">
        <f aca="false">SUMIFS('Time Log'!H:H,'Time Log'!D:D,"Bahaa Mohamed",'Time Log'!C:C,"May")</f>
        <v>0</v>
      </c>
      <c r="F4" s="12" t="n">
        <f aca="false">SUMIFS('Time Log'!H:H,'Time Log'!D:D,"Bahaa Mohamed",'Time Log'!C:C,"June")</f>
        <v>0</v>
      </c>
      <c r="G4" s="12" t="n">
        <f aca="false">SUMIFS('Time Log'!H:H,'Time Log'!D:D,"Bahaa Mohamed",'Time Log'!C:C,"July")</f>
        <v>0</v>
      </c>
      <c r="H4" s="12" t="n">
        <f aca="false">SUMIFS('Time Log'!H:H,'Time Log'!D:D,"Bahaa Mohamed",'Time Log'!C:C,"August")</f>
        <v>0</v>
      </c>
      <c r="I4" s="12" t="n">
        <f aca="false">SUMIFS('Time Log'!H:H,'Time Log'!D:D,"Bahaa Mohamed",'Time Log'!C:C,"September")</f>
        <v>0</v>
      </c>
      <c r="J4" s="12" t="n">
        <f aca="false">SUMIFS('Time Log'!H:H,'Time Log'!D:D,"Bahaa Mohamed",'Time Log'!C:C,"October")</f>
        <v>0</v>
      </c>
      <c r="K4" s="12" t="n">
        <f aca="false">SUMIFS('Time Log'!H:H,'Time Log'!D:D,"Bahaa Mohamed",'Time Log'!C:C,"November")</f>
        <v>0</v>
      </c>
      <c r="L4" s="12" t="n">
        <f aca="false">SUMIFS('Time Log'!H:H,'Time Log'!D:D,"Bahaa Mohamed",'Time Log'!C:C,"December")</f>
        <v>0</v>
      </c>
      <c r="M4" s="12" t="n">
        <f aca="false">SUMIFS('Time Log'!H:H,'Time Log'!D:D,"Bahaa Mohamed",'Time Log'!C:C,"January")</f>
        <v>0</v>
      </c>
      <c r="N4" s="12" t="n">
        <f aca="false">SUMIFS('Time Log'!H:H,'Time Log'!D:D,"Bahaa Mohamed",'Time Log'!C:C,"February")</f>
        <v>16363.64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1" width="22"/>
  </cols>
  <sheetData>
    <row r="1" customFormat="false" ht="15" hidden="false" customHeight="true" outlineLevel="0" collapsed="false">
      <c r="A1" s="2" t="s">
        <v>2</v>
      </c>
      <c r="B1" s="2" t="s">
        <v>76</v>
      </c>
      <c r="C1" s="2" t="s">
        <v>77</v>
      </c>
      <c r="D1" s="2" t="s">
        <v>78</v>
      </c>
      <c r="E1" s="2" t="s">
        <v>79</v>
      </c>
    </row>
    <row r="2" customFormat="false" ht="15" hidden="false" customHeight="true" outlineLevel="0" collapsed="false">
      <c r="A2" s="26" t="s">
        <v>10</v>
      </c>
      <c r="B2" s="26" t="s">
        <v>80</v>
      </c>
      <c r="C2" s="26" t="s">
        <v>81</v>
      </c>
      <c r="D2" s="26" t="s">
        <v>82</v>
      </c>
      <c r="E2" s="26" t="s">
        <v>83</v>
      </c>
    </row>
    <row r="3" customFormat="false" ht="15" hidden="false" customHeight="true" outlineLevel="0" collapsed="false">
      <c r="A3" s="26" t="s">
        <v>25</v>
      </c>
      <c r="B3" s="26" t="s">
        <v>84</v>
      </c>
      <c r="C3" s="26" t="s">
        <v>85</v>
      </c>
      <c r="D3" s="26" t="s">
        <v>86</v>
      </c>
      <c r="E3" s="26" t="s">
        <v>87</v>
      </c>
    </row>
    <row r="4" customFormat="false" ht="15" hidden="false" customHeight="true" outlineLevel="0" collapsed="false">
      <c r="A4" s="26" t="s">
        <v>27</v>
      </c>
      <c r="B4" s="26" t="s">
        <v>88</v>
      </c>
      <c r="C4" s="26" t="s">
        <v>81</v>
      </c>
      <c r="D4" s="26" t="s">
        <v>89</v>
      </c>
      <c r="E4" s="26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2026-03-19T19:45:26Z</dcterms:created>
  <dc:creator>openpyxl</dc:creator>
  <dc:description/>
  <dc:language>en-US</dc:language>
  <cp:lastModifiedBy/>
  <dcterms:modified xsi:type="dcterms:W3CDTF">2026-03-19T19:53:52Z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